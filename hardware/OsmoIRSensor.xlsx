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oIRSensor" sheetId="1" r:id="rId1"/>
  </sheets>
  <definedNames>
    <definedName name="BoardQty">'OsmoIRSensor'!$I$1</definedName>
    <definedName name="digikey_part_data">'OsmoIRSensor'!$J$5:$O$17</definedName>
    <definedName name="global_part_data">OsmoIRSensor!$A$5:$I$17</definedName>
    <definedName name="mouser_part_data">'OsmoIRSensor'!$P$5:$U$17</definedName>
    <definedName name="newark_part_data">'OsmoIRSensor'!$V$5:$AA$17</definedName>
    <definedName name="rs_part_data">'OsmoIRSensor'!$AB$5:$AG$17</definedName>
    <definedName name="TotalCost">'OsmoIRSensor'!$I$2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6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6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6" authorId="0">
      <text>
        <r>
          <rPr>
            <sz val="8"/>
            <color indexed="81"/>
            <rFont val="Tahoma"/>
            <family val="2"/>
          </rPr>
          <t>Description of each part.</t>
        </r>
      </text>
    </comment>
    <comment ref="D6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E6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F6" authorId="0">
      <text>
        <r>
          <rPr>
            <sz val="8"/>
            <color indexed="81"/>
            <rFont val="Tahoma"/>
            <family val="2"/>
          </rPr>
          <t>Manufacturer number for each part.</t>
        </r>
      </text>
    </comment>
    <comment ref="G6" authorId="0">
      <text>
        <r>
          <rPr>
            <sz val="8"/>
            <color indexed="81"/>
            <rFont val="Tahoma"/>
            <family val="2"/>
          </rPr>
          <t>Total number of each part needed to assemble the board.</t>
        </r>
      </text>
    </comment>
    <comment ref="H6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I6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J6" authorId="0">
      <text>
        <r>
          <rPr>
            <sz val="8"/>
            <color indexed="81"/>
            <rFont val="Tahoma"/>
            <family val="2"/>
          </rPr>
          <t>Available quantity of each part at the distributor.</t>
        </r>
      </text>
    </comment>
    <comment ref="K6" authorId="0">
      <text>
        <r>
          <rPr>
            <sz val="8"/>
            <color indexed="81"/>
            <rFont val="Tahoma"/>
            <family val="2"/>
          </rPr>
          <t>Purchase quantity of each part from this distributor.</t>
        </r>
      </text>
    </comment>
    <comment ref="L6" authorId="0">
      <text>
        <r>
          <rPr>
            <sz val="8"/>
            <color indexed="81"/>
            <rFont val="Tahoma"/>
            <family val="2"/>
          </rPr>
          <t>Unit price of each part from this distributor.</t>
        </r>
      </text>
    </comment>
    <comment ref="M6" authorId="0">
      <text>
        <r>
          <rPr>
            <sz val="8"/>
            <color indexed="81"/>
            <rFont val="Tahoma"/>
            <family val="2"/>
          </rPr>
          <t>(Unit Price) x (Purchase Qty) of each part from this distributor.</t>
        </r>
      </text>
    </comment>
    <comment ref="N6" authorId="0">
      <text>
        <r>
          <rPr>
            <sz val="8"/>
            <color indexed="81"/>
            <rFont val="Tahoma"/>
            <family val="2"/>
          </rPr>
          <t>Distributor-assigned part number for each part.</t>
        </r>
      </text>
    </comment>
    <comment ref="O6" authorId="0">
      <text>
        <r>
          <rPr>
            <sz val="8"/>
            <color indexed="81"/>
            <rFont val="Tahoma"/>
            <family val="2"/>
          </rPr>
          <t>Link to distributor webpage for each part.</t>
        </r>
      </text>
    </comment>
    <comment ref="P6" authorId="0">
      <text>
        <r>
          <rPr>
            <sz val="8"/>
            <color indexed="81"/>
            <rFont val="Tahoma"/>
            <family val="2"/>
          </rPr>
          <t>Available quantity of each part at the distributor.</t>
        </r>
      </text>
    </comment>
    <comment ref="Q6" authorId="0">
      <text>
        <r>
          <rPr>
            <sz val="8"/>
            <color indexed="81"/>
            <rFont val="Tahoma"/>
            <family val="2"/>
          </rPr>
          <t>Purchase quantity of each part from this distributor.</t>
        </r>
      </text>
    </comment>
    <comment ref="R6" authorId="0">
      <text>
        <r>
          <rPr>
            <sz val="8"/>
            <color indexed="81"/>
            <rFont val="Tahoma"/>
            <family val="2"/>
          </rPr>
          <t>Unit price of each part from this distributor.</t>
        </r>
      </text>
    </comment>
    <comment ref="S6" authorId="0">
      <text>
        <r>
          <rPr>
            <sz val="8"/>
            <color indexed="81"/>
            <rFont val="Tahoma"/>
            <family val="2"/>
          </rPr>
          <t>(Unit Price) x (Purchase Qty) of each part from this distributor.</t>
        </r>
      </text>
    </comment>
    <comment ref="T6" authorId="0">
      <text>
        <r>
          <rPr>
            <sz val="8"/>
            <color indexed="81"/>
            <rFont val="Tahoma"/>
            <family val="2"/>
          </rPr>
          <t>Distributor-assigned part number for each part.</t>
        </r>
      </text>
    </comment>
    <comment ref="U6" authorId="0">
      <text>
        <r>
          <rPr>
            <sz val="8"/>
            <color indexed="81"/>
            <rFont val="Tahoma"/>
            <family val="2"/>
          </rPr>
          <t>Link to distributor webpage for each part.</t>
        </r>
      </text>
    </comment>
    <comment ref="V6" authorId="0">
      <text>
        <r>
          <rPr>
            <sz val="8"/>
            <color indexed="81"/>
            <rFont val="Tahoma"/>
            <family val="2"/>
          </rPr>
          <t>Available quantity of each part at the distributor.</t>
        </r>
      </text>
    </comment>
    <comment ref="W6" authorId="0">
      <text>
        <r>
          <rPr>
            <sz val="8"/>
            <color indexed="81"/>
            <rFont val="Tahoma"/>
            <family val="2"/>
          </rPr>
          <t>Purchase quantity of each part from this distributor.</t>
        </r>
      </text>
    </comment>
    <comment ref="X6" authorId="0">
      <text>
        <r>
          <rPr>
            <sz val="8"/>
            <color indexed="81"/>
            <rFont val="Tahoma"/>
            <family val="2"/>
          </rPr>
          <t>Unit price of each part from this distributor.</t>
        </r>
      </text>
    </comment>
    <comment ref="Y6" authorId="0">
      <text>
        <r>
          <rPr>
            <sz val="8"/>
            <color indexed="81"/>
            <rFont val="Tahoma"/>
            <family val="2"/>
          </rPr>
          <t>(Unit Price) x (Purchase Qty) of each part from this distributor.</t>
        </r>
      </text>
    </comment>
    <comment ref="Z6" authorId="0">
      <text>
        <r>
          <rPr>
            <sz val="8"/>
            <color indexed="81"/>
            <rFont val="Tahoma"/>
            <family val="2"/>
          </rPr>
          <t>Distributor-assigned part number for each part.</t>
        </r>
      </text>
    </comment>
    <comment ref="AA6" authorId="0">
      <text>
        <r>
          <rPr>
            <sz val="8"/>
            <color indexed="81"/>
            <rFont val="Tahoma"/>
            <family val="2"/>
          </rPr>
          <t>Link to distributor webpage for each part.</t>
        </r>
      </text>
    </comment>
    <comment ref="AB6" authorId="0">
      <text>
        <r>
          <rPr>
            <sz val="8"/>
            <color indexed="81"/>
            <rFont val="Tahoma"/>
            <family val="2"/>
          </rPr>
          <t>Available quantity of each part at the distributor.</t>
        </r>
      </text>
    </comment>
    <comment ref="AC6" authorId="0">
      <text>
        <r>
          <rPr>
            <sz val="8"/>
            <color indexed="81"/>
            <rFont val="Tahoma"/>
            <family val="2"/>
          </rPr>
          <t>Purchase quantity of each part from this distributor.</t>
        </r>
      </text>
    </comment>
    <comment ref="AD6" authorId="0">
      <text>
        <r>
          <rPr>
            <sz val="8"/>
            <color indexed="81"/>
            <rFont val="Tahoma"/>
            <family val="2"/>
          </rPr>
          <t>Unit price of each part from this distributor.</t>
        </r>
      </text>
    </comment>
    <comment ref="AE6" authorId="0">
      <text>
        <r>
          <rPr>
            <sz val="8"/>
            <color indexed="81"/>
            <rFont val="Tahoma"/>
            <family val="2"/>
          </rPr>
          <t>(Unit Price) x (Purchase Qty) of each part from this distributor.</t>
        </r>
      </text>
    </comment>
    <comment ref="AF6" authorId="0">
      <text>
        <r>
          <rPr>
            <sz val="8"/>
            <color indexed="81"/>
            <rFont val="Tahoma"/>
            <family val="2"/>
          </rPr>
          <t>Distributor-assigned part number for each part.</t>
        </r>
      </text>
    </comment>
    <comment ref="AG6" authorId="0">
      <text>
        <r>
          <rPr>
            <sz val="8"/>
            <color indexed="81"/>
            <rFont val="Tahoma"/>
            <family val="2"/>
          </rPr>
          <t>Link to distributor webpage for each part.</t>
        </r>
      </text>
    </comment>
  </commentList>
</comments>
</file>

<file path=xl/sharedStrings.xml><?xml version="1.0" encoding="utf-8"?>
<sst xmlns="http://schemas.openxmlformats.org/spreadsheetml/2006/main" count="107" uniqueCount="52">
  <si>
    <t>Global Part Info</t>
  </si>
  <si>
    <t>Manf#</t>
  </si>
  <si>
    <t>Ext$</t>
  </si>
  <si>
    <t>Unit$</t>
  </si>
  <si>
    <t>Manf</t>
  </si>
  <si>
    <t>Footprint</t>
  </si>
  <si>
    <t>Refs</t>
  </si>
  <si>
    <t>Qty</t>
  </si>
  <si>
    <t>Value</t>
  </si>
  <si>
    <t>Desc</t>
  </si>
  <si>
    <t>C1</t>
  </si>
  <si>
    <t>Resistors_SMD:R_0805</t>
  </si>
  <si>
    <t>22nF</t>
  </si>
  <si>
    <t>IC2</t>
  </si>
  <si>
    <t>marelab:SMD-IR</t>
  </si>
  <si>
    <t>TSOP75436WTR</t>
  </si>
  <si>
    <t>IC1</t>
  </si>
  <si>
    <t>SMD_Packages:SOIC-8-N</t>
  </si>
  <si>
    <t>ATTINY45-S</t>
  </si>
  <si>
    <t>R2</t>
  </si>
  <si>
    <t>200R</t>
  </si>
  <si>
    <t>R3</t>
  </si>
  <si>
    <t>3K</t>
  </si>
  <si>
    <t>R4</t>
  </si>
  <si>
    <t>1K</t>
  </si>
  <si>
    <t>D1</t>
  </si>
  <si>
    <t>LEDs:LED_0805</t>
  </si>
  <si>
    <t>LED PWR</t>
  </si>
  <si>
    <t>R1</t>
  </si>
  <si>
    <t>10K</t>
  </si>
  <si>
    <t>P1</t>
  </si>
  <si>
    <t>marelab:CON3x2PCB</t>
  </si>
  <si>
    <t>CONN_02X03_PCB_DIRECT</t>
  </si>
  <si>
    <t>D2</t>
  </si>
  <si>
    <t>LEDs:LED_PLCC-2</t>
  </si>
  <si>
    <t>LED IR</t>
  </si>
  <si>
    <t>Y1</t>
  </si>
  <si>
    <t>marelab:RESONATOR</t>
  </si>
  <si>
    <t>20MHz</t>
  </si>
  <si>
    <t>Board Qty:</t>
  </si>
  <si>
    <t>Total Cost:</t>
  </si>
  <si>
    <t>Unit Cost:</t>
  </si>
  <si>
    <t>Digi-Key</t>
  </si>
  <si>
    <t>Doc</t>
  </si>
  <si>
    <t>Avail</t>
  </si>
  <si>
    <t>Purch</t>
  </si>
  <si>
    <t>Cat#</t>
  </si>
  <si>
    <t>Mouser</t>
  </si>
  <si>
    <t>Link</t>
  </si>
  <si>
    <t>653-VAL</t>
  </si>
  <si>
    <t>Newark</t>
  </si>
  <si>
    <t>Rs Components</t>
  </si>
</sst>
</file>

<file path=xl/styles.xml><?xml version="1.0" encoding="utf-8"?>
<styleSheet xmlns="http://schemas.openxmlformats.org/spreadsheetml/2006/main">
  <numFmts count="1">
    <numFmt numFmtId="164" formatCode="$#,##0.00"/>
    <numFmt numFmtId="164" formatCode="$#,##0.00"/>
    <numFmt numFmtId="164" formatCode="$#,##0.00"/>
  </numFmts>
  <fonts count="7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A2AE06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rgb="FF80FF8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mouser.com/Search/../ProductDetail/Omron-Electronics/VAL/?qs=sGAEpiMZZMtzFpQ%252bfsc2VG9FapavGxSS" TargetMode="External"/><Relationship Id="rId2" Type="http://schemas.openxmlformats.org/officeDocument/2006/relationships/hyperlink" Target="http://www.mouser.com/Search/../ProductDetail/Omron-Electronics/VAL/?qs=sGAEpiMZZMtzFpQ%252bfsc2VG9FapavGxSS" TargetMode="External"/><Relationship Id="rId3" Type="http://schemas.openxmlformats.org/officeDocument/2006/relationships/hyperlink" Target="http://www.mouser.com/Search/../ProductDetail/Omron-Electronics/VAL/?qs=sGAEpiMZZMtzFpQ%252bfsc2VG9FapavGxSS" TargetMode="External"/><Relationship Id="rId4" Type="http://schemas.openxmlformats.org/officeDocument/2006/relationships/hyperlink" Target="http://www.mouser.com/Search/../ProductDetail/Omron-Electronics/VAL/?qs=sGAEpiMZZMtzFpQ%252bfsc2VG9FapavGxSS" TargetMode="External"/><Relationship Id="rId5" Type="http://schemas.openxmlformats.org/officeDocument/2006/relationships/hyperlink" Target="http://www.mouser.com/Search/../ProductDetail/Omron-Electronics/VAL/?qs=sGAEpiMZZMtzFpQ%252bfsc2VG9FapavGxSS" TargetMode="External"/><Relationship Id="rId6" Type="http://schemas.openxmlformats.org/officeDocument/2006/relationships/hyperlink" Target="http://www.mouser.com/Search/../ProductDetail/Omron-Electronics/VAL/?qs=sGAEpiMZZMtzFpQ%252bfsc2VG9FapavGxSS" TargetMode="External"/><Relationship Id="rId7" Type="http://schemas.openxmlformats.org/officeDocument/2006/relationships/hyperlink" Target="http://www.mouser.com/Search/../ProductDetail/Omron-Electronics/VAL/?qs=sGAEpiMZZMtzFpQ%252bfsc2VG9FapavGxSS" TargetMode="External"/><Relationship Id="rId8" Type="http://schemas.openxmlformats.org/officeDocument/2006/relationships/hyperlink" Target="http://www.mouser.com/Search/../ProductDetail/Omron-Electronics/VAL/?qs=sGAEpiMZZMtzFpQ%252bfsc2VG9FapavGxSS" TargetMode="External"/><Relationship Id="rId9" Type="http://schemas.openxmlformats.org/officeDocument/2006/relationships/hyperlink" Target="http://www.mouser.com/Search/../ProductDetail/Omron-Electronics/VAL/?qs=sGAEpiMZZMtzFpQ%252bfsc2VG9FapavGxSS" TargetMode="External"/><Relationship Id="rId10" Type="http://schemas.openxmlformats.org/officeDocument/2006/relationships/hyperlink" Target="http://www.mouser.com/Search/../ProductDetail/Omron-Electronics/VAL/?qs=sGAEpiMZZMtzFpQ%252bfsc2VG9FapavGxSS" TargetMode="External"/><Relationship Id="rId11" Type="http://schemas.openxmlformats.org/officeDocument/2006/relationships/hyperlink" Target="http://www.mouser.com/Search/../ProductDetail/Omron-Electronics/VAL/?qs=sGAEpiMZZMtzFpQ%252bfsc2VG9FapavGxSS" TargetMode="External"/><Relationship Id="rId12" Type="http://schemas.openxmlformats.org/officeDocument/2006/relationships/vmlDrawing" Target="../drawings/vmlDrawing1.vml"/><Relationship Id="rId1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9"/>
  <sheetViews>
    <sheetView tabSelected="1" workbookViewId="0">
      <pane xSplit="9" ySplit="6" topLeftCell="J7" activePane="bottomRight" state="frozen"/>
      <selection pane="topRight" activeCell="J1" sqref="J1"/>
      <selection pane="bottomLeft" activeCell="A7" sqref="A7"/>
      <selection pane="bottomRight"/>
    </sheetView>
  </sheetViews>
  <sheetFormatPr defaultRowHeight="15" outlineLevelCol="2"/>
  <cols>
    <col min="1" max="1" width="9.140625"/>
    <col min="2" max="2" width="9.140625"/>
    <col min="3" max="3" width="9.140625"/>
    <col min="4" max="4" width="9.140625"/>
    <col min="5" max="5" width="9.140625"/>
    <col min="6" max="6" width="9.140625"/>
    <col min="7" max="7" width="9.140625"/>
    <col min="8" max="8" width="9.140625"/>
    <col min="9" max="9" width="15.7109375" customWidth="1"/>
    <col min="10" max="10" width="9.140625" outlineLevel="1"/>
    <col min="11" max="11" width="9.140625" outlineLevel="2"/>
    <col min="12" max="12" width="9.140625" outlineLevel="2"/>
    <col min="13" max="13" width="15.7109375" customWidth="1"/>
    <col min="14" max="14" width="9.140625" outlineLevel="2"/>
    <col min="15" max="15" width="9.140625" outlineLevel="2"/>
    <col min="16" max="16" width="9.140625" outlineLevel="1"/>
    <col min="17" max="17" width="9.140625" outlineLevel="2"/>
    <col min="18" max="18" width="9.140625" outlineLevel="2"/>
    <col min="19" max="19" width="15.7109375" customWidth="1"/>
    <col min="20" max="20" width="9.140625" outlineLevel="2"/>
    <col min="21" max="21" width="9.140625" outlineLevel="2"/>
    <col min="22" max="22" width="9.140625" outlineLevel="1"/>
    <col min="23" max="23" width="9.140625" outlineLevel="2"/>
    <col min="24" max="24" width="9.140625" outlineLevel="2"/>
    <col min="25" max="25" width="15.7109375" customWidth="1"/>
    <col min="26" max="26" width="9.140625" outlineLevel="2"/>
    <col min="27" max="27" width="9.140625" outlineLevel="2"/>
    <col min="28" max="28" width="9.140625" outlineLevel="1"/>
    <col min="29" max="29" width="9.140625" outlineLevel="2"/>
    <col min="30" max="30" width="9.140625" outlineLevel="2"/>
    <col min="31" max="31" width="15.7109375" customWidth="1"/>
    <col min="32" max="32" width="9.140625" outlineLevel="2"/>
    <col min="33" max="33" width="9.140625" outlineLevel="2"/>
  </cols>
  <sheetData>
    <row r="1" spans="1:33">
      <c r="H1" s="2" t="s">
        <v>39</v>
      </c>
      <c r="I1" s="2">
        <v>100</v>
      </c>
    </row>
    <row r="2" spans="1:33">
      <c r="H2" s="3" t="s">
        <v>40</v>
      </c>
      <c r="I2" s="4">
        <f>sum(I7:I17)</f>
        <v>0</v>
      </c>
      <c r="M2" s="4">
        <f>sum(M7:M17)</f>
        <v>0</v>
      </c>
      <c r="S2" s="4">
        <f>sum(S7:S17)</f>
        <v>0</v>
      </c>
      <c r="Y2" s="4">
        <f>sum(Y7:Y17)</f>
        <v>0</v>
      </c>
      <c r="AE2" s="4">
        <f>sum(AE7:AE17)</f>
        <v>0</v>
      </c>
    </row>
    <row r="3" spans="1:33">
      <c r="H3" s="3" t="s">
        <v>41</v>
      </c>
      <c r="I3" s="5">
        <f>TotalCost/BoardQty</f>
        <v>0</v>
      </c>
    </row>
    <row r="5" spans="1:33">
      <c r="A5" s="6" t="s">
        <v>0</v>
      </c>
      <c r="B5" s="6"/>
      <c r="C5" s="6"/>
      <c r="D5" s="6"/>
      <c r="E5" s="6"/>
      <c r="F5" s="6"/>
      <c r="G5" s="6"/>
      <c r="H5" s="6"/>
      <c r="I5" s="6"/>
      <c r="J5" s="7" t="s">
        <v>42</v>
      </c>
      <c r="K5" s="7"/>
      <c r="L5" s="7"/>
      <c r="M5" s="7"/>
      <c r="N5" s="7"/>
      <c r="O5" s="7"/>
      <c r="P5" s="8" t="s">
        <v>47</v>
      </c>
      <c r="Q5" s="8"/>
      <c r="R5" s="8"/>
      <c r="S5" s="8"/>
      <c r="T5" s="8"/>
      <c r="U5" s="8"/>
      <c r="V5" s="9" t="s">
        <v>50</v>
      </c>
      <c r="W5" s="9"/>
      <c r="X5" s="9"/>
      <c r="Y5" s="9"/>
      <c r="Z5" s="9"/>
      <c r="AA5" s="9"/>
      <c r="AB5" s="10" t="s">
        <v>51</v>
      </c>
      <c r="AC5" s="10"/>
      <c r="AD5" s="10"/>
      <c r="AE5" s="10"/>
      <c r="AF5" s="10"/>
      <c r="AG5" s="10"/>
    </row>
    <row r="6" spans="1:33">
      <c r="A6" s="11" t="s">
        <v>6</v>
      </c>
      <c r="B6" s="11" t="s">
        <v>8</v>
      </c>
      <c r="C6" s="11" t="s">
        <v>9</v>
      </c>
      <c r="D6" s="11" t="s">
        <v>5</v>
      </c>
      <c r="E6" s="11" t="s">
        <v>4</v>
      </c>
      <c r="F6" s="11" t="s">
        <v>1</v>
      </c>
      <c r="G6" s="11" t="s">
        <v>7</v>
      </c>
      <c r="H6" s="11" t="s">
        <v>3</v>
      </c>
      <c r="I6" s="11" t="s">
        <v>2</v>
      </c>
      <c r="J6" s="11" t="s">
        <v>44</v>
      </c>
      <c r="K6" s="11" t="s">
        <v>45</v>
      </c>
      <c r="L6" s="11" t="s">
        <v>3</v>
      </c>
      <c r="M6" s="11" t="s">
        <v>2</v>
      </c>
      <c r="N6" s="11" t="s">
        <v>46</v>
      </c>
      <c r="O6" s="11" t="s">
        <v>43</v>
      </c>
      <c r="P6" s="11" t="s">
        <v>44</v>
      </c>
      <c r="Q6" s="11" t="s">
        <v>45</v>
      </c>
      <c r="R6" s="11" t="s">
        <v>3</v>
      </c>
      <c r="S6" s="11" t="s">
        <v>2</v>
      </c>
      <c r="T6" s="11" t="s">
        <v>46</v>
      </c>
      <c r="U6" s="11" t="s">
        <v>43</v>
      </c>
      <c r="V6" s="11" t="s">
        <v>44</v>
      </c>
      <c r="W6" s="11" t="s">
        <v>45</v>
      </c>
      <c r="X6" s="11" t="s">
        <v>3</v>
      </c>
      <c r="Y6" s="11" t="s">
        <v>2</v>
      </c>
      <c r="Z6" s="11" t="s">
        <v>46</v>
      </c>
      <c r="AA6" s="11" t="s">
        <v>43</v>
      </c>
      <c r="AB6" s="11" t="s">
        <v>44</v>
      </c>
      <c r="AC6" s="11" t="s">
        <v>45</v>
      </c>
      <c r="AD6" s="11" t="s">
        <v>3</v>
      </c>
      <c r="AE6" s="11" t="s">
        <v>2</v>
      </c>
      <c r="AF6" s="11" t="s">
        <v>46</v>
      </c>
      <c r="AG6" s="11" t="s">
        <v>43</v>
      </c>
    </row>
    <row r="7" spans="1:33">
      <c r="A7" t="s">
        <v>10</v>
      </c>
      <c r="B7" t="s">
        <v>12</v>
      </c>
      <c r="D7" t="s">
        <v>11</v>
      </c>
      <c r="F7" t="s">
        <v>8</v>
      </c>
      <c r="G7">
        <f>BoardQty*1</f>
        <v>0</v>
      </c>
      <c r="H7" s="12">
        <f>MINA(INDIRECT(ADDRESS(ROW(),COLUMN(newark_part_data)+2)),INDIRECT(ADDRESS(ROW(),COLUMN(digikey_part_data)+2)),INDIRECT(ADDRESS(ROW(),COLUMN(rs_part_data)+2)),INDIRECT(ADDRESS(ROW(),COLUMN(mouser_part_data)+2)))</f>
        <v>0</v>
      </c>
      <c r="I7" s="12">
        <f>iferror(G7*H7,"")</f>
        <v>0</v>
      </c>
      <c r="P7">
        <v>0</v>
      </c>
      <c r="R7" s="12">
        <f>iferror(lookup(if(Q7="",G7,Q7),{0,1,25,50,100,200,500},{0.0,1.12,1.03,0.95,0.87,0.81,0.759}),"")</f>
        <v>0</v>
      </c>
      <c r="S7" s="12">
        <f>iferror(if(Q7="",G7,Q7)*R7,"")</f>
        <v>0</v>
      </c>
      <c r="T7" t="s">
        <v>49</v>
      </c>
      <c r="U7" s="13" t="s">
        <v>48</v>
      </c>
    </row>
    <row r="8" spans="1:33">
      <c r="A8" t="s">
        <v>13</v>
      </c>
      <c r="B8" t="s">
        <v>15</v>
      </c>
      <c r="D8" t="s">
        <v>14</v>
      </c>
      <c r="F8" t="s">
        <v>8</v>
      </c>
      <c r="G8">
        <f>BoardQty*1</f>
        <v>0</v>
      </c>
      <c r="H8" s="12">
        <f>MINA(INDIRECT(ADDRESS(ROW(),COLUMN(newark_part_data)+2)),INDIRECT(ADDRESS(ROW(),COLUMN(digikey_part_data)+2)),INDIRECT(ADDRESS(ROW(),COLUMN(rs_part_data)+2)),INDIRECT(ADDRESS(ROW(),COLUMN(mouser_part_data)+2)))</f>
        <v>0</v>
      </c>
      <c r="I8" s="12">
        <f>iferror(G8*H8,"")</f>
        <v>0</v>
      </c>
      <c r="P8">
        <v>0</v>
      </c>
      <c r="R8" s="12">
        <f>iferror(lookup(if(Q8="",G8,Q8),{0,1,25,50,100,200,500},{0.0,1.12,1.03,0.95,0.87,0.81,0.759}),"")</f>
        <v>0</v>
      </c>
      <c r="S8" s="12">
        <f>iferror(if(Q8="",G8,Q8)*R8,"")</f>
        <v>0</v>
      </c>
      <c r="T8" t="s">
        <v>49</v>
      </c>
      <c r="U8" s="13" t="s">
        <v>48</v>
      </c>
    </row>
    <row r="9" spans="1:33">
      <c r="A9" t="s">
        <v>16</v>
      </c>
      <c r="B9" t="s">
        <v>18</v>
      </c>
      <c r="D9" t="s">
        <v>17</v>
      </c>
      <c r="F9" t="s">
        <v>8</v>
      </c>
      <c r="G9">
        <f>BoardQty*1</f>
        <v>0</v>
      </c>
      <c r="H9" s="12">
        <f>MINA(INDIRECT(ADDRESS(ROW(),COLUMN(newark_part_data)+2)),INDIRECT(ADDRESS(ROW(),COLUMN(digikey_part_data)+2)),INDIRECT(ADDRESS(ROW(),COLUMN(rs_part_data)+2)),INDIRECT(ADDRESS(ROW(),COLUMN(mouser_part_data)+2)))</f>
        <v>0</v>
      </c>
      <c r="I9" s="12">
        <f>iferror(G9*H9,"")</f>
        <v>0</v>
      </c>
      <c r="P9">
        <v>0</v>
      </c>
      <c r="R9" s="12">
        <f>iferror(lookup(if(Q9="",G9,Q9),{0,1,25,50,100,200,500},{0.0,1.12,1.03,0.95,0.87,0.81,0.759}),"")</f>
        <v>0</v>
      </c>
      <c r="S9" s="12">
        <f>iferror(if(Q9="",G9,Q9)*R9,"")</f>
        <v>0</v>
      </c>
      <c r="T9" t="s">
        <v>49</v>
      </c>
      <c r="U9" s="13" t="s">
        <v>48</v>
      </c>
    </row>
    <row r="10" spans="1:33">
      <c r="A10" t="s">
        <v>19</v>
      </c>
      <c r="B10" t="s">
        <v>20</v>
      </c>
      <c r="D10" t="s">
        <v>11</v>
      </c>
      <c r="F10" t="s">
        <v>8</v>
      </c>
      <c r="G10">
        <f>BoardQty*1</f>
        <v>0</v>
      </c>
      <c r="H10" s="12">
        <f>MINA(INDIRECT(ADDRESS(ROW(),COLUMN(newark_part_data)+2)),INDIRECT(ADDRESS(ROW(),COLUMN(digikey_part_data)+2)),INDIRECT(ADDRESS(ROW(),COLUMN(rs_part_data)+2)),INDIRECT(ADDRESS(ROW(),COLUMN(mouser_part_data)+2)))</f>
        <v>0</v>
      </c>
      <c r="I10" s="12">
        <f>iferror(G10*H10,"")</f>
        <v>0</v>
      </c>
      <c r="P10">
        <v>0</v>
      </c>
      <c r="R10" s="12">
        <f>iferror(lookup(if(Q10="",G10,Q10),{0,1,25,50,100,200,500},{0.0,1.12,1.03,0.95,0.87,0.81,0.759}),"")</f>
        <v>0</v>
      </c>
      <c r="S10" s="12">
        <f>iferror(if(Q10="",G10,Q10)*R10,"")</f>
        <v>0</v>
      </c>
      <c r="T10" t="s">
        <v>49</v>
      </c>
      <c r="U10" s="13" t="s">
        <v>48</v>
      </c>
    </row>
    <row r="11" spans="1:33">
      <c r="A11" t="s">
        <v>21</v>
      </c>
      <c r="B11" t="s">
        <v>22</v>
      </c>
      <c r="D11" t="s">
        <v>11</v>
      </c>
      <c r="F11" t="s">
        <v>8</v>
      </c>
      <c r="G11">
        <f>BoardQty*1</f>
        <v>0</v>
      </c>
      <c r="H11" s="12">
        <f>MINA(INDIRECT(ADDRESS(ROW(),COLUMN(newark_part_data)+2)),INDIRECT(ADDRESS(ROW(),COLUMN(digikey_part_data)+2)),INDIRECT(ADDRESS(ROW(),COLUMN(rs_part_data)+2)),INDIRECT(ADDRESS(ROW(),COLUMN(mouser_part_data)+2)))</f>
        <v>0</v>
      </c>
      <c r="I11" s="12">
        <f>iferror(G11*H11,"")</f>
        <v>0</v>
      </c>
      <c r="P11">
        <v>0</v>
      </c>
      <c r="R11" s="12">
        <f>iferror(lookup(if(Q11="",G11,Q11),{0,1,25,50,100,200,500},{0.0,1.12,1.03,0.95,0.87,0.81,0.759}),"")</f>
        <v>0</v>
      </c>
      <c r="S11" s="12">
        <f>iferror(if(Q11="",G11,Q11)*R11,"")</f>
        <v>0</v>
      </c>
      <c r="T11" t="s">
        <v>49</v>
      </c>
      <c r="U11" s="13" t="s">
        <v>48</v>
      </c>
    </row>
    <row r="12" spans="1:33">
      <c r="A12" t="s">
        <v>23</v>
      </c>
      <c r="B12" t="s">
        <v>24</v>
      </c>
      <c r="D12" t="s">
        <v>11</v>
      </c>
      <c r="F12" t="s">
        <v>8</v>
      </c>
      <c r="G12">
        <f>BoardQty*1</f>
        <v>0</v>
      </c>
      <c r="H12" s="12">
        <f>MINA(INDIRECT(ADDRESS(ROW(),COLUMN(newark_part_data)+2)),INDIRECT(ADDRESS(ROW(),COLUMN(digikey_part_data)+2)),INDIRECT(ADDRESS(ROW(),COLUMN(rs_part_data)+2)),INDIRECT(ADDRESS(ROW(),COLUMN(mouser_part_data)+2)))</f>
        <v>0</v>
      </c>
      <c r="I12" s="12">
        <f>iferror(G12*H12,"")</f>
        <v>0</v>
      </c>
      <c r="P12">
        <v>0</v>
      </c>
      <c r="R12" s="12">
        <f>iferror(lookup(if(Q12="",G12,Q12),{0,1,25,50,100,200,500},{0.0,1.12,1.03,0.95,0.87,0.81,0.759}),"")</f>
        <v>0</v>
      </c>
      <c r="S12" s="12">
        <f>iferror(if(Q12="",G12,Q12)*R12,"")</f>
        <v>0</v>
      </c>
      <c r="T12" t="s">
        <v>49</v>
      </c>
      <c r="U12" s="13" t="s">
        <v>48</v>
      </c>
    </row>
    <row r="13" spans="1:33">
      <c r="A13" t="s">
        <v>25</v>
      </c>
      <c r="B13" t="s">
        <v>27</v>
      </c>
      <c r="D13" t="s">
        <v>26</v>
      </c>
      <c r="F13" t="s">
        <v>8</v>
      </c>
      <c r="G13">
        <f>BoardQty*1</f>
        <v>0</v>
      </c>
      <c r="H13" s="12">
        <f>MINA(INDIRECT(ADDRESS(ROW(),COLUMN(newark_part_data)+2)),INDIRECT(ADDRESS(ROW(),COLUMN(digikey_part_data)+2)),INDIRECT(ADDRESS(ROW(),COLUMN(rs_part_data)+2)),INDIRECT(ADDRESS(ROW(),COLUMN(mouser_part_data)+2)))</f>
        <v>0</v>
      </c>
      <c r="I13" s="12">
        <f>iferror(G13*H13,"")</f>
        <v>0</v>
      </c>
      <c r="P13">
        <v>0</v>
      </c>
      <c r="R13" s="12">
        <f>iferror(lookup(if(Q13="",G13,Q13),{0,1,25,50,100,200,500},{0.0,1.12,1.03,0.95,0.87,0.81,0.759}),"")</f>
        <v>0</v>
      </c>
      <c r="S13" s="12">
        <f>iferror(if(Q13="",G13,Q13)*R13,"")</f>
        <v>0</v>
      </c>
      <c r="T13" t="s">
        <v>49</v>
      </c>
      <c r="U13" s="13" t="s">
        <v>48</v>
      </c>
    </row>
    <row r="14" spans="1:33">
      <c r="A14" t="s">
        <v>28</v>
      </c>
      <c r="B14" t="s">
        <v>29</v>
      </c>
      <c r="D14" t="s">
        <v>11</v>
      </c>
      <c r="F14" t="s">
        <v>8</v>
      </c>
      <c r="G14">
        <f>BoardQty*1</f>
        <v>0</v>
      </c>
      <c r="H14" s="12">
        <f>MINA(INDIRECT(ADDRESS(ROW(),COLUMN(newark_part_data)+2)),INDIRECT(ADDRESS(ROW(),COLUMN(digikey_part_data)+2)),INDIRECT(ADDRESS(ROW(),COLUMN(rs_part_data)+2)),INDIRECT(ADDRESS(ROW(),COLUMN(mouser_part_data)+2)))</f>
        <v>0</v>
      </c>
      <c r="I14" s="12">
        <f>iferror(G14*H14,"")</f>
        <v>0</v>
      </c>
      <c r="P14">
        <v>0</v>
      </c>
      <c r="R14" s="12">
        <f>iferror(lookup(if(Q14="",G14,Q14),{0,1,25,50,100,200,500},{0.0,1.12,1.03,0.95,0.87,0.81,0.759}),"")</f>
        <v>0</v>
      </c>
      <c r="S14" s="12">
        <f>iferror(if(Q14="",G14,Q14)*R14,"")</f>
        <v>0</v>
      </c>
      <c r="T14" t="s">
        <v>49</v>
      </c>
      <c r="U14" s="13" t="s">
        <v>48</v>
      </c>
    </row>
    <row r="15" spans="1:33">
      <c r="A15" t="s">
        <v>30</v>
      </c>
      <c r="B15" t="s">
        <v>32</v>
      </c>
      <c r="D15" t="s">
        <v>31</v>
      </c>
      <c r="F15" t="s">
        <v>8</v>
      </c>
      <c r="G15">
        <f>BoardQty*1</f>
        <v>0</v>
      </c>
      <c r="H15" s="12">
        <f>MINA(INDIRECT(ADDRESS(ROW(),COLUMN(newark_part_data)+2)),INDIRECT(ADDRESS(ROW(),COLUMN(digikey_part_data)+2)),INDIRECT(ADDRESS(ROW(),COLUMN(rs_part_data)+2)),INDIRECT(ADDRESS(ROW(),COLUMN(mouser_part_data)+2)))</f>
        <v>0</v>
      </c>
      <c r="I15" s="12">
        <f>iferror(G15*H15,"")</f>
        <v>0</v>
      </c>
      <c r="P15">
        <v>0</v>
      </c>
      <c r="R15" s="12">
        <f>iferror(lookup(if(Q15="",G15,Q15),{0,1,25,50,100,200,500},{0.0,1.12,1.03,0.95,0.87,0.81,0.759}),"")</f>
        <v>0</v>
      </c>
      <c r="S15" s="12">
        <f>iferror(if(Q15="",G15,Q15)*R15,"")</f>
        <v>0</v>
      </c>
      <c r="T15" t="s">
        <v>49</v>
      </c>
      <c r="U15" s="13" t="s">
        <v>48</v>
      </c>
    </row>
    <row r="16" spans="1:33">
      <c r="A16" t="s">
        <v>33</v>
      </c>
      <c r="B16" t="s">
        <v>35</v>
      </c>
      <c r="D16" t="s">
        <v>34</v>
      </c>
      <c r="F16" t="s">
        <v>8</v>
      </c>
      <c r="G16">
        <f>BoardQty*1</f>
        <v>0</v>
      </c>
      <c r="H16" s="12">
        <f>MINA(INDIRECT(ADDRESS(ROW(),COLUMN(newark_part_data)+2)),INDIRECT(ADDRESS(ROW(),COLUMN(digikey_part_data)+2)),INDIRECT(ADDRESS(ROW(),COLUMN(rs_part_data)+2)),INDIRECT(ADDRESS(ROW(),COLUMN(mouser_part_data)+2)))</f>
        <v>0</v>
      </c>
      <c r="I16" s="12">
        <f>iferror(G16*H16,"")</f>
        <v>0</v>
      </c>
      <c r="P16">
        <v>0</v>
      </c>
      <c r="R16" s="12">
        <f>iferror(lookup(if(Q16="",G16,Q16),{0,1,25,50,100,200,500},{0.0,1.12,1.03,0.95,0.87,0.81,0.759}),"")</f>
        <v>0</v>
      </c>
      <c r="S16" s="12">
        <f>iferror(if(Q16="",G16,Q16)*R16,"")</f>
        <v>0</v>
      </c>
      <c r="T16" t="s">
        <v>49</v>
      </c>
      <c r="U16" s="13" t="s">
        <v>48</v>
      </c>
    </row>
    <row r="17" spans="1:31">
      <c r="A17" t="s">
        <v>36</v>
      </c>
      <c r="B17" t="s">
        <v>38</v>
      </c>
      <c r="D17" t="s">
        <v>37</v>
      </c>
      <c r="F17" t="s">
        <v>8</v>
      </c>
      <c r="G17">
        <f>BoardQty*1</f>
        <v>0</v>
      </c>
      <c r="H17" s="12">
        <f>MINA(INDIRECT(ADDRESS(ROW(),COLUMN(newark_part_data)+2)),INDIRECT(ADDRESS(ROW(),COLUMN(digikey_part_data)+2)),INDIRECT(ADDRESS(ROW(),COLUMN(rs_part_data)+2)),INDIRECT(ADDRESS(ROW(),COLUMN(mouser_part_data)+2)))</f>
        <v>0</v>
      </c>
      <c r="I17" s="12">
        <f>iferror(G17*H17,"")</f>
        <v>0</v>
      </c>
      <c r="P17">
        <v>0</v>
      </c>
      <c r="R17" s="12">
        <f>iferror(lookup(if(Q17="",G17,Q17),{0,1,25,50,100,200,500},{0.0,1.12,1.03,0.95,0.87,0.81,0.759}),"")</f>
        <v>0</v>
      </c>
      <c r="S17" s="12">
        <f>iferror(if(Q17="",G17,Q17)*R17,"")</f>
        <v>0</v>
      </c>
      <c r="T17" t="s">
        <v>49</v>
      </c>
      <c r="U17" s="13" t="s">
        <v>48</v>
      </c>
    </row>
    <row r="19" spans="1:31">
      <c r="K19">
        <f t="array" ref="K19">IFERROR(CONCATENATE(TEXT(INDEX($K$7:$K$17,SMALL(IF($N$7:$N$17&lt;&gt;"",IF($K$7:$K$17&lt;&gt;"",ROW($K$7:$K$17)-MIN(ROW($K$7:$K$17))+1,""),""),ROW()-ROW(A$19)+1)),"##0"),","),"")</f>
        <v>0</v>
      </c>
      <c r="L19">
        <f t="array" ref="L19">IFERROR(CONCATENATE((INDEX($N$7:$N$17,SMALL(IF($N$7:$N$17&lt;&gt;"",IF($K$7:$K$17&lt;&gt;"",ROW($K$7:$K$17)-MIN(ROW($K$7:$K$17))+1,""),""),ROW()-ROW(A$19)+1))),","),"")</f>
        <v>0</v>
      </c>
      <c r="M19">
        <f t="array" ref="M19">IFERROR(CONCATENATE((INDEX($A$7:$A$17,SMALL(IF($N$7:$N$17&lt;&gt;"",IF($K$7:$K$17&lt;&gt;"",ROW($K$7:$K$17)-MIN(ROW($K$7:$K$17))+1,""),""),ROW()-ROW(A$19)+1))),),"")</f>
        <v>0</v>
      </c>
      <c r="Q19">
        <f t="array" ref="Q19">IFERROR(CONCATENATE((INDEX($T$7:$T$17,SMALL(IF($T$7:$T$17&lt;&gt;"",IF($Q$7:$Q$17&lt;&gt;"",ROW($Q$7:$Q$17)-MIN(ROW($Q$7:$Q$17))+1,""),""),ROW()-ROW(A$19)+1)))," "),"")</f>
        <v>0</v>
      </c>
      <c r="R19">
        <f t="array" ref="R19">IFERROR(CONCATENATE(TEXT(INDEX($Q$7:$Q$17,SMALL(IF($T$7:$T$17&lt;&gt;"",IF($Q$7:$Q$17&lt;&gt;"",ROW($Q$7:$Q$17)-MIN(ROW($Q$7:$Q$17))+1,""),""),ROW()-ROW(A$19)+1)),"##0")," "),"")</f>
        <v>0</v>
      </c>
      <c r="S19">
        <f t="array" ref="S19">IFERROR(CONCATENATE((INDEX($A$7:$A$17,SMALL(IF($T$7:$T$17&lt;&gt;"",IF($Q$7:$Q$17&lt;&gt;"",ROW($Q$7:$Q$17)-MIN(ROW($Q$7:$Q$17))+1,""),""),ROW()-ROW(A$19)+1))),),"")</f>
        <v>0</v>
      </c>
      <c r="W19">
        <f t="array" ref="W19">IFERROR(CONCATENATE((INDEX($Z$7:$Z$17,SMALL(IF($Z$7:$Z$17&lt;&gt;"",IF($W$7:$W$17&lt;&gt;"",ROW($W$7:$W$17)-MIN(ROW($W$7:$W$17))+1,""),""),ROW()-ROW(A$19)+1))),","),"")</f>
        <v>0</v>
      </c>
      <c r="X19">
        <f t="array" ref="X19">IFERROR(CONCATENATE(TEXT(INDEX($W$7:$W$17,SMALL(IF($Z$7:$Z$17&lt;&gt;"",IF($W$7:$W$17&lt;&gt;"",ROW($W$7:$W$17)-MIN(ROW($W$7:$W$17))+1,""),""),ROW()-ROW(A$19)+1)),"##0"),","),"")</f>
        <v>0</v>
      </c>
      <c r="Y19">
        <f t="array" ref="Y19">IFERROR(CONCATENATE((INDEX($A$7:$A$17,SMALL(IF($Z$7:$Z$17&lt;&gt;"",IF($W$7:$W$17&lt;&gt;"",ROW($W$7:$W$17)-MIN(ROW($W$7:$W$17))+1,""),""),ROW()-ROW(A$19)+1))),),"")</f>
        <v>0</v>
      </c>
      <c r="AC19">
        <f t="array" ref="AC19">IFERROR(CONCATENATE((INDEX($AF$7:$AF$17,SMALL(IF($AF$7:$AF$17&lt;&gt;"",IF($AC$7:$AC$17&lt;&gt;"",ROW($AC$7:$AC$17)-MIN(ROW($AC$7:$AC$17))+1,""),""),ROW()-ROW(A$19)+1)))," "),"")</f>
        <v>0</v>
      </c>
      <c r="AD19">
        <f t="array" ref="AD19">IFERROR(CONCATENATE(TEXT(INDEX($AC$7:$AC$17,SMALL(IF($AF$7:$AF$17&lt;&gt;"",IF($AC$7:$AC$17&lt;&gt;"",ROW($AC$7:$AC$17)-MIN(ROW($AC$7:$AC$17))+1,""),""),ROW()-ROW(A$19)+1)),"##0")," "),"")</f>
        <v>0</v>
      </c>
      <c r="AE19">
        <f t="array" ref="AE19">IFERROR(CONCATENATE((INDEX($A$7:$A$17,SMALL(IF($AF$7:$AF$17&lt;&gt;"",IF($AC$7:$AC$17&lt;&gt;"",ROW($AC$7:$AC$17)-MIN(ROW($AC$7:$AC$17))+1,""),""),ROW()-ROW(A$19)+1))),),"")</f>
        <v>0</v>
      </c>
    </row>
    <row r="20" spans="1:31">
      <c r="K20">
        <f t="array" ref="K20">IFERROR(CONCATENATE(TEXT(INDEX($K$7:$K$17,SMALL(IF($N$7:$N$17&lt;&gt;"",IF($K$7:$K$17&lt;&gt;"",ROW($K$7:$K$17)-MIN(ROW($K$7:$K$17))+1,""),""),ROW()-ROW(A$19)+1)),"##0"),","),"")</f>
        <v>0</v>
      </c>
      <c r="L20">
        <f t="array" ref="L20">IFERROR(CONCATENATE((INDEX($N$7:$N$17,SMALL(IF($N$7:$N$17&lt;&gt;"",IF($K$7:$K$17&lt;&gt;"",ROW($K$7:$K$17)-MIN(ROW($K$7:$K$17))+1,""),""),ROW()-ROW(A$19)+1))),","),"")</f>
        <v>0</v>
      </c>
      <c r="M20">
        <f t="array" ref="M20">IFERROR(CONCATENATE((INDEX($A$7:$A$17,SMALL(IF($N$7:$N$17&lt;&gt;"",IF($K$7:$K$17&lt;&gt;"",ROW($K$7:$K$17)-MIN(ROW($K$7:$K$17))+1,""),""),ROW()-ROW(A$19)+1))),),"")</f>
        <v>0</v>
      </c>
      <c r="Q20">
        <f t="array" ref="Q20">IFERROR(CONCATENATE((INDEX($T$7:$T$17,SMALL(IF($T$7:$T$17&lt;&gt;"",IF($Q$7:$Q$17&lt;&gt;"",ROW($Q$7:$Q$17)-MIN(ROW($Q$7:$Q$17))+1,""),""),ROW()-ROW(A$19)+1)))," "),"")</f>
        <v>0</v>
      </c>
      <c r="R20">
        <f t="array" ref="R20">IFERROR(CONCATENATE(TEXT(INDEX($Q$7:$Q$17,SMALL(IF($T$7:$T$17&lt;&gt;"",IF($Q$7:$Q$17&lt;&gt;"",ROW($Q$7:$Q$17)-MIN(ROW($Q$7:$Q$17))+1,""),""),ROW()-ROW(A$19)+1)),"##0")," "),"")</f>
        <v>0</v>
      </c>
      <c r="S20">
        <f t="array" ref="S20">IFERROR(CONCATENATE((INDEX($A$7:$A$17,SMALL(IF($T$7:$T$17&lt;&gt;"",IF($Q$7:$Q$17&lt;&gt;"",ROW($Q$7:$Q$17)-MIN(ROW($Q$7:$Q$17))+1,""),""),ROW()-ROW(A$19)+1))),),"")</f>
        <v>0</v>
      </c>
      <c r="W20">
        <f t="array" ref="W20">IFERROR(CONCATENATE((INDEX($Z$7:$Z$17,SMALL(IF($Z$7:$Z$17&lt;&gt;"",IF($W$7:$W$17&lt;&gt;"",ROW($W$7:$W$17)-MIN(ROW($W$7:$W$17))+1,""),""),ROW()-ROW(A$19)+1))),","),"")</f>
        <v>0</v>
      </c>
      <c r="X20">
        <f t="array" ref="X20">IFERROR(CONCATENATE(TEXT(INDEX($W$7:$W$17,SMALL(IF($Z$7:$Z$17&lt;&gt;"",IF($W$7:$W$17&lt;&gt;"",ROW($W$7:$W$17)-MIN(ROW($W$7:$W$17))+1,""),""),ROW()-ROW(A$19)+1)),"##0"),","),"")</f>
        <v>0</v>
      </c>
      <c r="Y20">
        <f t="array" ref="Y20">IFERROR(CONCATENATE((INDEX($A$7:$A$17,SMALL(IF($Z$7:$Z$17&lt;&gt;"",IF($W$7:$W$17&lt;&gt;"",ROW($W$7:$W$17)-MIN(ROW($W$7:$W$17))+1,""),""),ROW()-ROW(A$19)+1))),),"")</f>
        <v>0</v>
      </c>
      <c r="AC20">
        <f t="array" ref="AC20">IFERROR(CONCATENATE((INDEX($AF$7:$AF$17,SMALL(IF($AF$7:$AF$17&lt;&gt;"",IF($AC$7:$AC$17&lt;&gt;"",ROW($AC$7:$AC$17)-MIN(ROW($AC$7:$AC$17))+1,""),""),ROW()-ROW(A$19)+1)))," "),"")</f>
        <v>0</v>
      </c>
      <c r="AD20">
        <f t="array" ref="AD20">IFERROR(CONCATENATE(TEXT(INDEX($AC$7:$AC$17,SMALL(IF($AF$7:$AF$17&lt;&gt;"",IF($AC$7:$AC$17&lt;&gt;"",ROW($AC$7:$AC$17)-MIN(ROW($AC$7:$AC$17))+1,""),""),ROW()-ROW(A$19)+1)),"##0")," "),"")</f>
        <v>0</v>
      </c>
      <c r="AE20">
        <f t="array" ref="AE20">IFERROR(CONCATENATE((INDEX($A$7:$A$17,SMALL(IF($AF$7:$AF$17&lt;&gt;"",IF($AC$7:$AC$17&lt;&gt;"",ROW($AC$7:$AC$17)-MIN(ROW($AC$7:$AC$17))+1,""),""),ROW()-ROW(A$19)+1))),),"")</f>
        <v>0</v>
      </c>
    </row>
    <row r="21" spans="1:31">
      <c r="K21">
        <f t="array" ref="K21">IFERROR(CONCATENATE(TEXT(INDEX($K$7:$K$17,SMALL(IF($N$7:$N$17&lt;&gt;"",IF($K$7:$K$17&lt;&gt;"",ROW($K$7:$K$17)-MIN(ROW($K$7:$K$17))+1,""),""),ROW()-ROW(A$19)+1)),"##0"),","),"")</f>
        <v>0</v>
      </c>
      <c r="L21">
        <f t="array" ref="L21">IFERROR(CONCATENATE((INDEX($N$7:$N$17,SMALL(IF($N$7:$N$17&lt;&gt;"",IF($K$7:$K$17&lt;&gt;"",ROW($K$7:$K$17)-MIN(ROW($K$7:$K$17))+1,""),""),ROW()-ROW(A$19)+1))),","),"")</f>
        <v>0</v>
      </c>
      <c r="M21">
        <f t="array" ref="M21">IFERROR(CONCATENATE((INDEX($A$7:$A$17,SMALL(IF($N$7:$N$17&lt;&gt;"",IF($K$7:$K$17&lt;&gt;"",ROW($K$7:$K$17)-MIN(ROW($K$7:$K$17))+1,""),""),ROW()-ROW(A$19)+1))),),"")</f>
        <v>0</v>
      </c>
      <c r="Q21">
        <f t="array" ref="Q21">IFERROR(CONCATENATE((INDEX($T$7:$T$17,SMALL(IF($T$7:$T$17&lt;&gt;"",IF($Q$7:$Q$17&lt;&gt;"",ROW($Q$7:$Q$17)-MIN(ROW($Q$7:$Q$17))+1,""),""),ROW()-ROW(A$19)+1)))," "),"")</f>
        <v>0</v>
      </c>
      <c r="R21">
        <f t="array" ref="R21">IFERROR(CONCATENATE(TEXT(INDEX($Q$7:$Q$17,SMALL(IF($T$7:$T$17&lt;&gt;"",IF($Q$7:$Q$17&lt;&gt;"",ROW($Q$7:$Q$17)-MIN(ROW($Q$7:$Q$17))+1,""),""),ROW()-ROW(A$19)+1)),"##0")," "),"")</f>
        <v>0</v>
      </c>
      <c r="S21">
        <f t="array" ref="S21">IFERROR(CONCATENATE((INDEX($A$7:$A$17,SMALL(IF($T$7:$T$17&lt;&gt;"",IF($Q$7:$Q$17&lt;&gt;"",ROW($Q$7:$Q$17)-MIN(ROW($Q$7:$Q$17))+1,""),""),ROW()-ROW(A$19)+1))),),"")</f>
        <v>0</v>
      </c>
      <c r="W21">
        <f t="array" ref="W21">IFERROR(CONCATENATE((INDEX($Z$7:$Z$17,SMALL(IF($Z$7:$Z$17&lt;&gt;"",IF($W$7:$W$17&lt;&gt;"",ROW($W$7:$W$17)-MIN(ROW($W$7:$W$17))+1,""),""),ROW()-ROW(A$19)+1))),","),"")</f>
        <v>0</v>
      </c>
      <c r="X21">
        <f t="array" ref="X21">IFERROR(CONCATENATE(TEXT(INDEX($W$7:$W$17,SMALL(IF($Z$7:$Z$17&lt;&gt;"",IF($W$7:$W$17&lt;&gt;"",ROW($W$7:$W$17)-MIN(ROW($W$7:$W$17))+1,""),""),ROW()-ROW(A$19)+1)),"##0"),","),"")</f>
        <v>0</v>
      </c>
      <c r="Y21">
        <f t="array" ref="Y21">IFERROR(CONCATENATE((INDEX($A$7:$A$17,SMALL(IF($Z$7:$Z$17&lt;&gt;"",IF($W$7:$W$17&lt;&gt;"",ROW($W$7:$W$17)-MIN(ROW($W$7:$W$17))+1,""),""),ROW()-ROW(A$19)+1))),),"")</f>
        <v>0</v>
      </c>
      <c r="AC21">
        <f t="array" ref="AC21">IFERROR(CONCATENATE((INDEX($AF$7:$AF$17,SMALL(IF($AF$7:$AF$17&lt;&gt;"",IF($AC$7:$AC$17&lt;&gt;"",ROW($AC$7:$AC$17)-MIN(ROW($AC$7:$AC$17))+1,""),""),ROW()-ROW(A$19)+1)))," "),"")</f>
        <v>0</v>
      </c>
      <c r="AD21">
        <f t="array" ref="AD21">IFERROR(CONCATENATE(TEXT(INDEX($AC$7:$AC$17,SMALL(IF($AF$7:$AF$17&lt;&gt;"",IF($AC$7:$AC$17&lt;&gt;"",ROW($AC$7:$AC$17)-MIN(ROW($AC$7:$AC$17))+1,""),""),ROW()-ROW(A$19)+1)),"##0")," "),"")</f>
        <v>0</v>
      </c>
      <c r="AE21">
        <f t="array" ref="AE21">IFERROR(CONCATENATE((INDEX($A$7:$A$17,SMALL(IF($AF$7:$AF$17&lt;&gt;"",IF($AC$7:$AC$17&lt;&gt;"",ROW($AC$7:$AC$17)-MIN(ROW($AC$7:$AC$17))+1,""),""),ROW()-ROW(A$19)+1))),),"")</f>
        <v>0</v>
      </c>
    </row>
    <row r="22" spans="1:31">
      <c r="K22">
        <f t="array" ref="K22">IFERROR(CONCATENATE(TEXT(INDEX($K$7:$K$17,SMALL(IF($N$7:$N$17&lt;&gt;"",IF($K$7:$K$17&lt;&gt;"",ROW($K$7:$K$17)-MIN(ROW($K$7:$K$17))+1,""),""),ROW()-ROW(A$19)+1)),"##0"),","),"")</f>
        <v>0</v>
      </c>
      <c r="L22">
        <f t="array" ref="L22">IFERROR(CONCATENATE((INDEX($N$7:$N$17,SMALL(IF($N$7:$N$17&lt;&gt;"",IF($K$7:$K$17&lt;&gt;"",ROW($K$7:$K$17)-MIN(ROW($K$7:$K$17))+1,""),""),ROW()-ROW(A$19)+1))),","),"")</f>
        <v>0</v>
      </c>
      <c r="M22">
        <f t="array" ref="M22">IFERROR(CONCATENATE((INDEX($A$7:$A$17,SMALL(IF($N$7:$N$17&lt;&gt;"",IF($K$7:$K$17&lt;&gt;"",ROW($K$7:$K$17)-MIN(ROW($K$7:$K$17))+1,""),""),ROW()-ROW(A$19)+1))),),"")</f>
        <v>0</v>
      </c>
      <c r="Q22">
        <f t="array" ref="Q22">IFERROR(CONCATENATE((INDEX($T$7:$T$17,SMALL(IF($T$7:$T$17&lt;&gt;"",IF($Q$7:$Q$17&lt;&gt;"",ROW($Q$7:$Q$17)-MIN(ROW($Q$7:$Q$17))+1,""),""),ROW()-ROW(A$19)+1)))," "),"")</f>
        <v>0</v>
      </c>
      <c r="R22">
        <f t="array" ref="R22">IFERROR(CONCATENATE(TEXT(INDEX($Q$7:$Q$17,SMALL(IF($T$7:$T$17&lt;&gt;"",IF($Q$7:$Q$17&lt;&gt;"",ROW($Q$7:$Q$17)-MIN(ROW($Q$7:$Q$17))+1,""),""),ROW()-ROW(A$19)+1)),"##0")," "),"")</f>
        <v>0</v>
      </c>
      <c r="S22">
        <f t="array" ref="S22">IFERROR(CONCATENATE((INDEX($A$7:$A$17,SMALL(IF($T$7:$T$17&lt;&gt;"",IF($Q$7:$Q$17&lt;&gt;"",ROW($Q$7:$Q$17)-MIN(ROW($Q$7:$Q$17))+1,""),""),ROW()-ROW(A$19)+1))),),"")</f>
        <v>0</v>
      </c>
      <c r="W22">
        <f t="array" ref="W22">IFERROR(CONCATENATE((INDEX($Z$7:$Z$17,SMALL(IF($Z$7:$Z$17&lt;&gt;"",IF($W$7:$W$17&lt;&gt;"",ROW($W$7:$W$17)-MIN(ROW($W$7:$W$17))+1,""),""),ROW()-ROW(A$19)+1))),","),"")</f>
        <v>0</v>
      </c>
      <c r="X22">
        <f t="array" ref="X22">IFERROR(CONCATENATE(TEXT(INDEX($W$7:$W$17,SMALL(IF($Z$7:$Z$17&lt;&gt;"",IF($W$7:$W$17&lt;&gt;"",ROW($W$7:$W$17)-MIN(ROW($W$7:$W$17))+1,""),""),ROW()-ROW(A$19)+1)),"##0"),","),"")</f>
        <v>0</v>
      </c>
      <c r="Y22">
        <f t="array" ref="Y22">IFERROR(CONCATENATE((INDEX($A$7:$A$17,SMALL(IF($Z$7:$Z$17&lt;&gt;"",IF($W$7:$W$17&lt;&gt;"",ROW($W$7:$W$17)-MIN(ROW($W$7:$W$17))+1,""),""),ROW()-ROW(A$19)+1))),),"")</f>
        <v>0</v>
      </c>
      <c r="AC22">
        <f t="array" ref="AC22">IFERROR(CONCATENATE((INDEX($AF$7:$AF$17,SMALL(IF($AF$7:$AF$17&lt;&gt;"",IF($AC$7:$AC$17&lt;&gt;"",ROW($AC$7:$AC$17)-MIN(ROW($AC$7:$AC$17))+1,""),""),ROW()-ROW(A$19)+1)))," "),"")</f>
        <v>0</v>
      </c>
      <c r="AD22">
        <f t="array" ref="AD22">IFERROR(CONCATENATE(TEXT(INDEX($AC$7:$AC$17,SMALL(IF($AF$7:$AF$17&lt;&gt;"",IF($AC$7:$AC$17&lt;&gt;"",ROW($AC$7:$AC$17)-MIN(ROW($AC$7:$AC$17))+1,""),""),ROW()-ROW(A$19)+1)),"##0")," "),"")</f>
        <v>0</v>
      </c>
      <c r="AE22">
        <f t="array" ref="AE22">IFERROR(CONCATENATE((INDEX($A$7:$A$17,SMALL(IF($AF$7:$AF$17&lt;&gt;"",IF($AC$7:$AC$17&lt;&gt;"",ROW($AC$7:$AC$17)-MIN(ROW($AC$7:$AC$17))+1,""),""),ROW()-ROW(A$19)+1))),),"")</f>
        <v>0</v>
      </c>
    </row>
    <row r="23" spans="1:31">
      <c r="K23">
        <f t="array" ref="K23">IFERROR(CONCATENATE(TEXT(INDEX($K$7:$K$17,SMALL(IF($N$7:$N$17&lt;&gt;"",IF($K$7:$K$17&lt;&gt;"",ROW($K$7:$K$17)-MIN(ROW($K$7:$K$17))+1,""),""),ROW()-ROW(A$19)+1)),"##0"),","),"")</f>
        <v>0</v>
      </c>
      <c r="L23">
        <f t="array" ref="L23">IFERROR(CONCATENATE((INDEX($N$7:$N$17,SMALL(IF($N$7:$N$17&lt;&gt;"",IF($K$7:$K$17&lt;&gt;"",ROW($K$7:$K$17)-MIN(ROW($K$7:$K$17))+1,""),""),ROW()-ROW(A$19)+1))),","),"")</f>
        <v>0</v>
      </c>
      <c r="M23">
        <f t="array" ref="M23">IFERROR(CONCATENATE((INDEX($A$7:$A$17,SMALL(IF($N$7:$N$17&lt;&gt;"",IF($K$7:$K$17&lt;&gt;"",ROW($K$7:$K$17)-MIN(ROW($K$7:$K$17))+1,""),""),ROW()-ROW(A$19)+1))),),"")</f>
        <v>0</v>
      </c>
      <c r="Q23">
        <f t="array" ref="Q23">IFERROR(CONCATENATE((INDEX($T$7:$T$17,SMALL(IF($T$7:$T$17&lt;&gt;"",IF($Q$7:$Q$17&lt;&gt;"",ROW($Q$7:$Q$17)-MIN(ROW($Q$7:$Q$17))+1,""),""),ROW()-ROW(A$19)+1)))," "),"")</f>
        <v>0</v>
      </c>
      <c r="R23">
        <f t="array" ref="R23">IFERROR(CONCATENATE(TEXT(INDEX($Q$7:$Q$17,SMALL(IF($T$7:$T$17&lt;&gt;"",IF($Q$7:$Q$17&lt;&gt;"",ROW($Q$7:$Q$17)-MIN(ROW($Q$7:$Q$17))+1,""),""),ROW()-ROW(A$19)+1)),"##0")," "),"")</f>
        <v>0</v>
      </c>
      <c r="S23">
        <f t="array" ref="S23">IFERROR(CONCATENATE((INDEX($A$7:$A$17,SMALL(IF($T$7:$T$17&lt;&gt;"",IF($Q$7:$Q$17&lt;&gt;"",ROW($Q$7:$Q$17)-MIN(ROW($Q$7:$Q$17))+1,""),""),ROW()-ROW(A$19)+1))),),"")</f>
        <v>0</v>
      </c>
      <c r="W23">
        <f t="array" ref="W23">IFERROR(CONCATENATE((INDEX($Z$7:$Z$17,SMALL(IF($Z$7:$Z$17&lt;&gt;"",IF($W$7:$W$17&lt;&gt;"",ROW($W$7:$W$17)-MIN(ROW($W$7:$W$17))+1,""),""),ROW()-ROW(A$19)+1))),","),"")</f>
        <v>0</v>
      </c>
      <c r="X23">
        <f t="array" ref="X23">IFERROR(CONCATENATE(TEXT(INDEX($W$7:$W$17,SMALL(IF($Z$7:$Z$17&lt;&gt;"",IF($W$7:$W$17&lt;&gt;"",ROW($W$7:$W$17)-MIN(ROW($W$7:$W$17))+1,""),""),ROW()-ROW(A$19)+1)),"##0"),","),"")</f>
        <v>0</v>
      </c>
      <c r="Y23">
        <f t="array" ref="Y23">IFERROR(CONCATENATE((INDEX($A$7:$A$17,SMALL(IF($Z$7:$Z$17&lt;&gt;"",IF($W$7:$W$17&lt;&gt;"",ROW($W$7:$W$17)-MIN(ROW($W$7:$W$17))+1,""),""),ROW()-ROW(A$19)+1))),),"")</f>
        <v>0</v>
      </c>
      <c r="AC23">
        <f t="array" ref="AC23">IFERROR(CONCATENATE((INDEX($AF$7:$AF$17,SMALL(IF($AF$7:$AF$17&lt;&gt;"",IF($AC$7:$AC$17&lt;&gt;"",ROW($AC$7:$AC$17)-MIN(ROW($AC$7:$AC$17))+1,""),""),ROW()-ROW(A$19)+1)))," "),"")</f>
        <v>0</v>
      </c>
      <c r="AD23">
        <f t="array" ref="AD23">IFERROR(CONCATENATE(TEXT(INDEX($AC$7:$AC$17,SMALL(IF($AF$7:$AF$17&lt;&gt;"",IF($AC$7:$AC$17&lt;&gt;"",ROW($AC$7:$AC$17)-MIN(ROW($AC$7:$AC$17))+1,""),""),ROW()-ROW(A$19)+1)),"##0")," "),"")</f>
        <v>0</v>
      </c>
      <c r="AE23">
        <f t="array" ref="AE23">IFERROR(CONCATENATE((INDEX($A$7:$A$17,SMALL(IF($AF$7:$AF$17&lt;&gt;"",IF($AC$7:$AC$17&lt;&gt;"",ROW($AC$7:$AC$17)-MIN(ROW($AC$7:$AC$17))+1,""),""),ROW()-ROW(A$19)+1))),),"")</f>
        <v>0</v>
      </c>
    </row>
    <row r="24" spans="1:31">
      <c r="K24">
        <f t="array" ref="K24">IFERROR(CONCATENATE(TEXT(INDEX($K$7:$K$17,SMALL(IF($N$7:$N$17&lt;&gt;"",IF($K$7:$K$17&lt;&gt;"",ROW($K$7:$K$17)-MIN(ROW($K$7:$K$17))+1,""),""),ROW()-ROW(A$19)+1)),"##0"),","),"")</f>
        <v>0</v>
      </c>
      <c r="L24">
        <f t="array" ref="L24">IFERROR(CONCATENATE((INDEX($N$7:$N$17,SMALL(IF($N$7:$N$17&lt;&gt;"",IF($K$7:$K$17&lt;&gt;"",ROW($K$7:$K$17)-MIN(ROW($K$7:$K$17))+1,""),""),ROW()-ROW(A$19)+1))),","),"")</f>
        <v>0</v>
      </c>
      <c r="M24">
        <f t="array" ref="M24">IFERROR(CONCATENATE((INDEX($A$7:$A$17,SMALL(IF($N$7:$N$17&lt;&gt;"",IF($K$7:$K$17&lt;&gt;"",ROW($K$7:$K$17)-MIN(ROW($K$7:$K$17))+1,""),""),ROW()-ROW(A$19)+1))),),"")</f>
        <v>0</v>
      </c>
      <c r="Q24">
        <f t="array" ref="Q24">IFERROR(CONCATENATE((INDEX($T$7:$T$17,SMALL(IF($T$7:$T$17&lt;&gt;"",IF($Q$7:$Q$17&lt;&gt;"",ROW($Q$7:$Q$17)-MIN(ROW($Q$7:$Q$17))+1,""),""),ROW()-ROW(A$19)+1)))," "),"")</f>
        <v>0</v>
      </c>
      <c r="R24">
        <f t="array" ref="R24">IFERROR(CONCATENATE(TEXT(INDEX($Q$7:$Q$17,SMALL(IF($T$7:$T$17&lt;&gt;"",IF($Q$7:$Q$17&lt;&gt;"",ROW($Q$7:$Q$17)-MIN(ROW($Q$7:$Q$17))+1,""),""),ROW()-ROW(A$19)+1)),"##0")," "),"")</f>
        <v>0</v>
      </c>
      <c r="S24">
        <f t="array" ref="S24">IFERROR(CONCATENATE((INDEX($A$7:$A$17,SMALL(IF($T$7:$T$17&lt;&gt;"",IF($Q$7:$Q$17&lt;&gt;"",ROW($Q$7:$Q$17)-MIN(ROW($Q$7:$Q$17))+1,""),""),ROW()-ROW(A$19)+1))),),"")</f>
        <v>0</v>
      </c>
      <c r="W24">
        <f t="array" ref="W24">IFERROR(CONCATENATE((INDEX($Z$7:$Z$17,SMALL(IF($Z$7:$Z$17&lt;&gt;"",IF($W$7:$W$17&lt;&gt;"",ROW($W$7:$W$17)-MIN(ROW($W$7:$W$17))+1,""),""),ROW()-ROW(A$19)+1))),","),"")</f>
        <v>0</v>
      </c>
      <c r="X24">
        <f t="array" ref="X24">IFERROR(CONCATENATE(TEXT(INDEX($W$7:$W$17,SMALL(IF($Z$7:$Z$17&lt;&gt;"",IF($W$7:$W$17&lt;&gt;"",ROW($W$7:$W$17)-MIN(ROW($W$7:$W$17))+1,""),""),ROW()-ROW(A$19)+1)),"##0"),","),"")</f>
        <v>0</v>
      </c>
      <c r="Y24">
        <f t="array" ref="Y24">IFERROR(CONCATENATE((INDEX($A$7:$A$17,SMALL(IF($Z$7:$Z$17&lt;&gt;"",IF($W$7:$W$17&lt;&gt;"",ROW($W$7:$W$17)-MIN(ROW($W$7:$W$17))+1,""),""),ROW()-ROW(A$19)+1))),),"")</f>
        <v>0</v>
      </c>
      <c r="AC24">
        <f t="array" ref="AC24">IFERROR(CONCATENATE((INDEX($AF$7:$AF$17,SMALL(IF($AF$7:$AF$17&lt;&gt;"",IF($AC$7:$AC$17&lt;&gt;"",ROW($AC$7:$AC$17)-MIN(ROW($AC$7:$AC$17))+1,""),""),ROW()-ROW(A$19)+1)))," "),"")</f>
        <v>0</v>
      </c>
      <c r="AD24">
        <f t="array" ref="AD24">IFERROR(CONCATENATE(TEXT(INDEX($AC$7:$AC$17,SMALL(IF($AF$7:$AF$17&lt;&gt;"",IF($AC$7:$AC$17&lt;&gt;"",ROW($AC$7:$AC$17)-MIN(ROW($AC$7:$AC$17))+1,""),""),ROW()-ROW(A$19)+1)),"##0")," "),"")</f>
        <v>0</v>
      </c>
      <c r="AE24">
        <f t="array" ref="AE24">IFERROR(CONCATENATE((INDEX($A$7:$A$17,SMALL(IF($AF$7:$AF$17&lt;&gt;"",IF($AC$7:$AC$17&lt;&gt;"",ROW($AC$7:$AC$17)-MIN(ROW($AC$7:$AC$17))+1,""),""),ROW()-ROW(A$19)+1))),),"")</f>
        <v>0</v>
      </c>
    </row>
    <row r="25" spans="1:31">
      <c r="K25">
        <f t="array" ref="K25">IFERROR(CONCATENATE(TEXT(INDEX($K$7:$K$17,SMALL(IF($N$7:$N$17&lt;&gt;"",IF($K$7:$K$17&lt;&gt;"",ROW($K$7:$K$17)-MIN(ROW($K$7:$K$17))+1,""),""),ROW()-ROW(A$19)+1)),"##0"),","),"")</f>
        <v>0</v>
      </c>
      <c r="L25">
        <f t="array" ref="L25">IFERROR(CONCATENATE((INDEX($N$7:$N$17,SMALL(IF($N$7:$N$17&lt;&gt;"",IF($K$7:$K$17&lt;&gt;"",ROW($K$7:$K$17)-MIN(ROW($K$7:$K$17))+1,""),""),ROW()-ROW(A$19)+1))),","),"")</f>
        <v>0</v>
      </c>
      <c r="M25">
        <f t="array" ref="M25">IFERROR(CONCATENATE((INDEX($A$7:$A$17,SMALL(IF($N$7:$N$17&lt;&gt;"",IF($K$7:$K$17&lt;&gt;"",ROW($K$7:$K$17)-MIN(ROW($K$7:$K$17))+1,""),""),ROW()-ROW(A$19)+1))),),"")</f>
        <v>0</v>
      </c>
      <c r="Q25">
        <f t="array" ref="Q25">IFERROR(CONCATENATE((INDEX($T$7:$T$17,SMALL(IF($T$7:$T$17&lt;&gt;"",IF($Q$7:$Q$17&lt;&gt;"",ROW($Q$7:$Q$17)-MIN(ROW($Q$7:$Q$17))+1,""),""),ROW()-ROW(A$19)+1)))," "),"")</f>
        <v>0</v>
      </c>
      <c r="R25">
        <f t="array" ref="R25">IFERROR(CONCATENATE(TEXT(INDEX($Q$7:$Q$17,SMALL(IF($T$7:$T$17&lt;&gt;"",IF($Q$7:$Q$17&lt;&gt;"",ROW($Q$7:$Q$17)-MIN(ROW($Q$7:$Q$17))+1,""),""),ROW()-ROW(A$19)+1)),"##0")," "),"")</f>
        <v>0</v>
      </c>
      <c r="S25">
        <f t="array" ref="S25">IFERROR(CONCATENATE((INDEX($A$7:$A$17,SMALL(IF($T$7:$T$17&lt;&gt;"",IF($Q$7:$Q$17&lt;&gt;"",ROW($Q$7:$Q$17)-MIN(ROW($Q$7:$Q$17))+1,""),""),ROW()-ROW(A$19)+1))),),"")</f>
        <v>0</v>
      </c>
      <c r="W25">
        <f t="array" ref="W25">IFERROR(CONCATENATE((INDEX($Z$7:$Z$17,SMALL(IF($Z$7:$Z$17&lt;&gt;"",IF($W$7:$W$17&lt;&gt;"",ROW($W$7:$W$17)-MIN(ROW($W$7:$W$17))+1,""),""),ROW()-ROW(A$19)+1))),","),"")</f>
        <v>0</v>
      </c>
      <c r="X25">
        <f t="array" ref="X25">IFERROR(CONCATENATE(TEXT(INDEX($W$7:$W$17,SMALL(IF($Z$7:$Z$17&lt;&gt;"",IF($W$7:$W$17&lt;&gt;"",ROW($W$7:$W$17)-MIN(ROW($W$7:$W$17))+1,""),""),ROW()-ROW(A$19)+1)),"##0"),","),"")</f>
        <v>0</v>
      </c>
      <c r="Y25">
        <f t="array" ref="Y25">IFERROR(CONCATENATE((INDEX($A$7:$A$17,SMALL(IF($Z$7:$Z$17&lt;&gt;"",IF($W$7:$W$17&lt;&gt;"",ROW($W$7:$W$17)-MIN(ROW($W$7:$W$17))+1,""),""),ROW()-ROW(A$19)+1))),),"")</f>
        <v>0</v>
      </c>
      <c r="AC25">
        <f t="array" ref="AC25">IFERROR(CONCATENATE((INDEX($AF$7:$AF$17,SMALL(IF($AF$7:$AF$17&lt;&gt;"",IF($AC$7:$AC$17&lt;&gt;"",ROW($AC$7:$AC$17)-MIN(ROW($AC$7:$AC$17))+1,""),""),ROW()-ROW(A$19)+1)))," "),"")</f>
        <v>0</v>
      </c>
      <c r="AD25">
        <f t="array" ref="AD25">IFERROR(CONCATENATE(TEXT(INDEX($AC$7:$AC$17,SMALL(IF($AF$7:$AF$17&lt;&gt;"",IF($AC$7:$AC$17&lt;&gt;"",ROW($AC$7:$AC$17)-MIN(ROW($AC$7:$AC$17))+1,""),""),ROW()-ROW(A$19)+1)),"##0")," "),"")</f>
        <v>0</v>
      </c>
      <c r="AE25">
        <f t="array" ref="AE25">IFERROR(CONCATENATE((INDEX($A$7:$A$17,SMALL(IF($AF$7:$AF$17&lt;&gt;"",IF($AC$7:$AC$17&lt;&gt;"",ROW($AC$7:$AC$17)-MIN(ROW($AC$7:$AC$17))+1,""),""),ROW()-ROW(A$19)+1))),),"")</f>
        <v>0</v>
      </c>
    </row>
    <row r="26" spans="1:31">
      <c r="K26">
        <f t="array" ref="K26">IFERROR(CONCATENATE(TEXT(INDEX($K$7:$K$17,SMALL(IF($N$7:$N$17&lt;&gt;"",IF($K$7:$K$17&lt;&gt;"",ROW($K$7:$K$17)-MIN(ROW($K$7:$K$17))+1,""),""),ROW()-ROW(A$19)+1)),"##0"),","),"")</f>
        <v>0</v>
      </c>
      <c r="L26">
        <f t="array" ref="L26">IFERROR(CONCATENATE((INDEX($N$7:$N$17,SMALL(IF($N$7:$N$17&lt;&gt;"",IF($K$7:$K$17&lt;&gt;"",ROW($K$7:$K$17)-MIN(ROW($K$7:$K$17))+1,""),""),ROW()-ROW(A$19)+1))),","),"")</f>
        <v>0</v>
      </c>
      <c r="M26">
        <f t="array" ref="M26">IFERROR(CONCATENATE((INDEX($A$7:$A$17,SMALL(IF($N$7:$N$17&lt;&gt;"",IF($K$7:$K$17&lt;&gt;"",ROW($K$7:$K$17)-MIN(ROW($K$7:$K$17))+1,""),""),ROW()-ROW(A$19)+1))),),"")</f>
        <v>0</v>
      </c>
      <c r="Q26">
        <f t="array" ref="Q26">IFERROR(CONCATENATE((INDEX($T$7:$T$17,SMALL(IF($T$7:$T$17&lt;&gt;"",IF($Q$7:$Q$17&lt;&gt;"",ROW($Q$7:$Q$17)-MIN(ROW($Q$7:$Q$17))+1,""),""),ROW()-ROW(A$19)+1)))," "),"")</f>
        <v>0</v>
      </c>
      <c r="R26">
        <f t="array" ref="R26">IFERROR(CONCATENATE(TEXT(INDEX($Q$7:$Q$17,SMALL(IF($T$7:$T$17&lt;&gt;"",IF($Q$7:$Q$17&lt;&gt;"",ROW($Q$7:$Q$17)-MIN(ROW($Q$7:$Q$17))+1,""),""),ROW()-ROW(A$19)+1)),"##0")," "),"")</f>
        <v>0</v>
      </c>
      <c r="S26">
        <f t="array" ref="S26">IFERROR(CONCATENATE((INDEX($A$7:$A$17,SMALL(IF($T$7:$T$17&lt;&gt;"",IF($Q$7:$Q$17&lt;&gt;"",ROW($Q$7:$Q$17)-MIN(ROW($Q$7:$Q$17))+1,""),""),ROW()-ROW(A$19)+1))),),"")</f>
        <v>0</v>
      </c>
      <c r="W26">
        <f t="array" ref="W26">IFERROR(CONCATENATE((INDEX($Z$7:$Z$17,SMALL(IF($Z$7:$Z$17&lt;&gt;"",IF($W$7:$W$17&lt;&gt;"",ROW($W$7:$W$17)-MIN(ROW($W$7:$W$17))+1,""),""),ROW()-ROW(A$19)+1))),","),"")</f>
        <v>0</v>
      </c>
      <c r="X26">
        <f t="array" ref="X26">IFERROR(CONCATENATE(TEXT(INDEX($W$7:$W$17,SMALL(IF($Z$7:$Z$17&lt;&gt;"",IF($W$7:$W$17&lt;&gt;"",ROW($W$7:$W$17)-MIN(ROW($W$7:$W$17))+1,""),""),ROW()-ROW(A$19)+1)),"##0"),","),"")</f>
        <v>0</v>
      </c>
      <c r="Y26">
        <f t="array" ref="Y26">IFERROR(CONCATENATE((INDEX($A$7:$A$17,SMALL(IF($Z$7:$Z$17&lt;&gt;"",IF($W$7:$W$17&lt;&gt;"",ROW($W$7:$W$17)-MIN(ROW($W$7:$W$17))+1,""),""),ROW()-ROW(A$19)+1))),),"")</f>
        <v>0</v>
      </c>
      <c r="AC26">
        <f t="array" ref="AC26">IFERROR(CONCATENATE((INDEX($AF$7:$AF$17,SMALL(IF($AF$7:$AF$17&lt;&gt;"",IF($AC$7:$AC$17&lt;&gt;"",ROW($AC$7:$AC$17)-MIN(ROW($AC$7:$AC$17))+1,""),""),ROW()-ROW(A$19)+1)))," "),"")</f>
        <v>0</v>
      </c>
      <c r="AD26">
        <f t="array" ref="AD26">IFERROR(CONCATENATE(TEXT(INDEX($AC$7:$AC$17,SMALL(IF($AF$7:$AF$17&lt;&gt;"",IF($AC$7:$AC$17&lt;&gt;"",ROW($AC$7:$AC$17)-MIN(ROW($AC$7:$AC$17))+1,""),""),ROW()-ROW(A$19)+1)),"##0")," "),"")</f>
        <v>0</v>
      </c>
      <c r="AE26">
        <f t="array" ref="AE26">IFERROR(CONCATENATE((INDEX($A$7:$A$17,SMALL(IF($AF$7:$AF$17&lt;&gt;"",IF($AC$7:$AC$17&lt;&gt;"",ROW($AC$7:$AC$17)-MIN(ROW($AC$7:$AC$17))+1,""),""),ROW()-ROW(A$19)+1))),),"")</f>
        <v>0</v>
      </c>
    </row>
    <row r="27" spans="1:31">
      <c r="K27">
        <f t="array" ref="K27">IFERROR(CONCATENATE(TEXT(INDEX($K$7:$K$17,SMALL(IF($N$7:$N$17&lt;&gt;"",IF($K$7:$K$17&lt;&gt;"",ROW($K$7:$K$17)-MIN(ROW($K$7:$K$17))+1,""),""),ROW()-ROW(A$19)+1)),"##0"),","),"")</f>
        <v>0</v>
      </c>
      <c r="L27">
        <f t="array" ref="L27">IFERROR(CONCATENATE((INDEX($N$7:$N$17,SMALL(IF($N$7:$N$17&lt;&gt;"",IF($K$7:$K$17&lt;&gt;"",ROW($K$7:$K$17)-MIN(ROW($K$7:$K$17))+1,""),""),ROW()-ROW(A$19)+1))),","),"")</f>
        <v>0</v>
      </c>
      <c r="M27">
        <f t="array" ref="M27">IFERROR(CONCATENATE((INDEX($A$7:$A$17,SMALL(IF($N$7:$N$17&lt;&gt;"",IF($K$7:$K$17&lt;&gt;"",ROW($K$7:$K$17)-MIN(ROW($K$7:$K$17))+1,""),""),ROW()-ROW(A$19)+1))),),"")</f>
        <v>0</v>
      </c>
      <c r="Q27">
        <f t="array" ref="Q27">IFERROR(CONCATENATE((INDEX($T$7:$T$17,SMALL(IF($T$7:$T$17&lt;&gt;"",IF($Q$7:$Q$17&lt;&gt;"",ROW($Q$7:$Q$17)-MIN(ROW($Q$7:$Q$17))+1,""),""),ROW()-ROW(A$19)+1)))," "),"")</f>
        <v>0</v>
      </c>
      <c r="R27">
        <f t="array" ref="R27">IFERROR(CONCATENATE(TEXT(INDEX($Q$7:$Q$17,SMALL(IF($T$7:$T$17&lt;&gt;"",IF($Q$7:$Q$17&lt;&gt;"",ROW($Q$7:$Q$17)-MIN(ROW($Q$7:$Q$17))+1,""),""),ROW()-ROW(A$19)+1)),"##0")," "),"")</f>
        <v>0</v>
      </c>
      <c r="S27">
        <f t="array" ref="S27">IFERROR(CONCATENATE((INDEX($A$7:$A$17,SMALL(IF($T$7:$T$17&lt;&gt;"",IF($Q$7:$Q$17&lt;&gt;"",ROW($Q$7:$Q$17)-MIN(ROW($Q$7:$Q$17))+1,""),""),ROW()-ROW(A$19)+1))),),"")</f>
        <v>0</v>
      </c>
      <c r="W27">
        <f t="array" ref="W27">IFERROR(CONCATENATE((INDEX($Z$7:$Z$17,SMALL(IF($Z$7:$Z$17&lt;&gt;"",IF($W$7:$W$17&lt;&gt;"",ROW($W$7:$W$17)-MIN(ROW($W$7:$W$17))+1,""),""),ROW()-ROW(A$19)+1))),","),"")</f>
        <v>0</v>
      </c>
      <c r="X27">
        <f t="array" ref="X27">IFERROR(CONCATENATE(TEXT(INDEX($W$7:$W$17,SMALL(IF($Z$7:$Z$17&lt;&gt;"",IF($W$7:$W$17&lt;&gt;"",ROW($W$7:$W$17)-MIN(ROW($W$7:$W$17))+1,""),""),ROW()-ROW(A$19)+1)),"##0"),","),"")</f>
        <v>0</v>
      </c>
      <c r="Y27">
        <f t="array" ref="Y27">IFERROR(CONCATENATE((INDEX($A$7:$A$17,SMALL(IF($Z$7:$Z$17&lt;&gt;"",IF($W$7:$W$17&lt;&gt;"",ROW($W$7:$W$17)-MIN(ROW($W$7:$W$17))+1,""),""),ROW()-ROW(A$19)+1))),),"")</f>
        <v>0</v>
      </c>
      <c r="AC27">
        <f t="array" ref="AC27">IFERROR(CONCATENATE((INDEX($AF$7:$AF$17,SMALL(IF($AF$7:$AF$17&lt;&gt;"",IF($AC$7:$AC$17&lt;&gt;"",ROW($AC$7:$AC$17)-MIN(ROW($AC$7:$AC$17))+1,""),""),ROW()-ROW(A$19)+1)))," "),"")</f>
        <v>0</v>
      </c>
      <c r="AD27">
        <f t="array" ref="AD27">IFERROR(CONCATENATE(TEXT(INDEX($AC$7:$AC$17,SMALL(IF($AF$7:$AF$17&lt;&gt;"",IF($AC$7:$AC$17&lt;&gt;"",ROW($AC$7:$AC$17)-MIN(ROW($AC$7:$AC$17))+1,""),""),ROW()-ROW(A$19)+1)),"##0")," "),"")</f>
        <v>0</v>
      </c>
      <c r="AE27">
        <f t="array" ref="AE27">IFERROR(CONCATENATE((INDEX($A$7:$A$17,SMALL(IF($AF$7:$AF$17&lt;&gt;"",IF($AC$7:$AC$17&lt;&gt;"",ROW($AC$7:$AC$17)-MIN(ROW($AC$7:$AC$17))+1,""),""),ROW()-ROW(A$19)+1))),),"")</f>
        <v>0</v>
      </c>
    </row>
    <row r="28" spans="1:31">
      <c r="K28">
        <f t="array" ref="K28">IFERROR(CONCATENATE(TEXT(INDEX($K$7:$K$17,SMALL(IF($N$7:$N$17&lt;&gt;"",IF($K$7:$K$17&lt;&gt;"",ROW($K$7:$K$17)-MIN(ROW($K$7:$K$17))+1,""),""),ROW()-ROW(A$19)+1)),"##0"),","),"")</f>
        <v>0</v>
      </c>
      <c r="L28">
        <f t="array" ref="L28">IFERROR(CONCATENATE((INDEX($N$7:$N$17,SMALL(IF($N$7:$N$17&lt;&gt;"",IF($K$7:$K$17&lt;&gt;"",ROW($K$7:$K$17)-MIN(ROW($K$7:$K$17))+1,""),""),ROW()-ROW(A$19)+1))),","),"")</f>
        <v>0</v>
      </c>
      <c r="M28">
        <f t="array" ref="M28">IFERROR(CONCATENATE((INDEX($A$7:$A$17,SMALL(IF($N$7:$N$17&lt;&gt;"",IF($K$7:$K$17&lt;&gt;"",ROW($K$7:$K$17)-MIN(ROW($K$7:$K$17))+1,""),""),ROW()-ROW(A$19)+1))),),"")</f>
        <v>0</v>
      </c>
      <c r="Q28">
        <f t="array" ref="Q28">IFERROR(CONCATENATE((INDEX($T$7:$T$17,SMALL(IF($T$7:$T$17&lt;&gt;"",IF($Q$7:$Q$17&lt;&gt;"",ROW($Q$7:$Q$17)-MIN(ROW($Q$7:$Q$17))+1,""),""),ROW()-ROW(A$19)+1)))," "),"")</f>
        <v>0</v>
      </c>
      <c r="R28">
        <f t="array" ref="R28">IFERROR(CONCATENATE(TEXT(INDEX($Q$7:$Q$17,SMALL(IF($T$7:$T$17&lt;&gt;"",IF($Q$7:$Q$17&lt;&gt;"",ROW($Q$7:$Q$17)-MIN(ROW($Q$7:$Q$17))+1,""),""),ROW()-ROW(A$19)+1)),"##0")," "),"")</f>
        <v>0</v>
      </c>
      <c r="S28">
        <f t="array" ref="S28">IFERROR(CONCATENATE((INDEX($A$7:$A$17,SMALL(IF($T$7:$T$17&lt;&gt;"",IF($Q$7:$Q$17&lt;&gt;"",ROW($Q$7:$Q$17)-MIN(ROW($Q$7:$Q$17))+1,""),""),ROW()-ROW(A$19)+1))),),"")</f>
        <v>0</v>
      </c>
      <c r="W28">
        <f t="array" ref="W28">IFERROR(CONCATENATE((INDEX($Z$7:$Z$17,SMALL(IF($Z$7:$Z$17&lt;&gt;"",IF($W$7:$W$17&lt;&gt;"",ROW($W$7:$W$17)-MIN(ROW($W$7:$W$17))+1,""),""),ROW()-ROW(A$19)+1))),","),"")</f>
        <v>0</v>
      </c>
      <c r="X28">
        <f t="array" ref="X28">IFERROR(CONCATENATE(TEXT(INDEX($W$7:$W$17,SMALL(IF($Z$7:$Z$17&lt;&gt;"",IF($W$7:$W$17&lt;&gt;"",ROW($W$7:$W$17)-MIN(ROW($W$7:$W$17))+1,""),""),ROW()-ROW(A$19)+1)),"##0"),","),"")</f>
        <v>0</v>
      </c>
      <c r="Y28">
        <f t="array" ref="Y28">IFERROR(CONCATENATE((INDEX($A$7:$A$17,SMALL(IF($Z$7:$Z$17&lt;&gt;"",IF($W$7:$W$17&lt;&gt;"",ROW($W$7:$W$17)-MIN(ROW($W$7:$W$17))+1,""),""),ROW()-ROW(A$19)+1))),),"")</f>
        <v>0</v>
      </c>
      <c r="AC28">
        <f t="array" ref="AC28">IFERROR(CONCATENATE((INDEX($AF$7:$AF$17,SMALL(IF($AF$7:$AF$17&lt;&gt;"",IF($AC$7:$AC$17&lt;&gt;"",ROW($AC$7:$AC$17)-MIN(ROW($AC$7:$AC$17))+1,""),""),ROW()-ROW(A$19)+1)))," "),"")</f>
        <v>0</v>
      </c>
      <c r="AD28">
        <f t="array" ref="AD28">IFERROR(CONCATENATE(TEXT(INDEX($AC$7:$AC$17,SMALL(IF($AF$7:$AF$17&lt;&gt;"",IF($AC$7:$AC$17&lt;&gt;"",ROW($AC$7:$AC$17)-MIN(ROW($AC$7:$AC$17))+1,""),""),ROW()-ROW(A$19)+1)),"##0")," "),"")</f>
        <v>0</v>
      </c>
      <c r="AE28">
        <f t="array" ref="AE28">IFERROR(CONCATENATE((INDEX($A$7:$A$17,SMALL(IF($AF$7:$AF$17&lt;&gt;"",IF($AC$7:$AC$17&lt;&gt;"",ROW($AC$7:$AC$17)-MIN(ROW($AC$7:$AC$17))+1,""),""),ROW()-ROW(A$19)+1))),),"")</f>
        <v>0</v>
      </c>
    </row>
    <row r="29" spans="1:31">
      <c r="K29">
        <f t="array" ref="K29">IFERROR(CONCATENATE(TEXT(INDEX($K$7:$K$17,SMALL(IF($N$7:$N$17&lt;&gt;"",IF($K$7:$K$17&lt;&gt;"",ROW($K$7:$K$17)-MIN(ROW($K$7:$K$17))+1,""),""),ROW()-ROW(A$19)+1)),"##0"),","),"")</f>
        <v>0</v>
      </c>
      <c r="L29">
        <f t="array" ref="L29">IFERROR(CONCATENATE((INDEX($N$7:$N$17,SMALL(IF($N$7:$N$17&lt;&gt;"",IF($K$7:$K$17&lt;&gt;"",ROW($K$7:$K$17)-MIN(ROW($K$7:$K$17))+1,""),""),ROW()-ROW(A$19)+1))),","),"")</f>
        <v>0</v>
      </c>
      <c r="M29">
        <f t="array" ref="M29">IFERROR(CONCATENATE((INDEX($A$7:$A$17,SMALL(IF($N$7:$N$17&lt;&gt;"",IF($K$7:$K$17&lt;&gt;"",ROW($K$7:$K$17)-MIN(ROW($K$7:$K$17))+1,""),""),ROW()-ROW(A$19)+1))),),"")</f>
        <v>0</v>
      </c>
      <c r="Q29">
        <f t="array" ref="Q29">IFERROR(CONCATENATE((INDEX($T$7:$T$17,SMALL(IF($T$7:$T$17&lt;&gt;"",IF($Q$7:$Q$17&lt;&gt;"",ROW($Q$7:$Q$17)-MIN(ROW($Q$7:$Q$17))+1,""),""),ROW()-ROW(A$19)+1)))," "),"")</f>
        <v>0</v>
      </c>
      <c r="R29">
        <f t="array" ref="R29">IFERROR(CONCATENATE(TEXT(INDEX($Q$7:$Q$17,SMALL(IF($T$7:$T$17&lt;&gt;"",IF($Q$7:$Q$17&lt;&gt;"",ROW($Q$7:$Q$17)-MIN(ROW($Q$7:$Q$17))+1,""),""),ROW()-ROW(A$19)+1)),"##0")," "),"")</f>
        <v>0</v>
      </c>
      <c r="S29">
        <f t="array" ref="S29">IFERROR(CONCATENATE((INDEX($A$7:$A$17,SMALL(IF($T$7:$T$17&lt;&gt;"",IF($Q$7:$Q$17&lt;&gt;"",ROW($Q$7:$Q$17)-MIN(ROW($Q$7:$Q$17))+1,""),""),ROW()-ROW(A$19)+1))),),"")</f>
        <v>0</v>
      </c>
      <c r="W29">
        <f t="array" ref="W29">IFERROR(CONCATENATE((INDEX($Z$7:$Z$17,SMALL(IF($Z$7:$Z$17&lt;&gt;"",IF($W$7:$W$17&lt;&gt;"",ROW($W$7:$W$17)-MIN(ROW($W$7:$W$17))+1,""),""),ROW()-ROW(A$19)+1))),","),"")</f>
        <v>0</v>
      </c>
      <c r="X29">
        <f t="array" ref="X29">IFERROR(CONCATENATE(TEXT(INDEX($W$7:$W$17,SMALL(IF($Z$7:$Z$17&lt;&gt;"",IF($W$7:$W$17&lt;&gt;"",ROW($W$7:$W$17)-MIN(ROW($W$7:$W$17))+1,""),""),ROW()-ROW(A$19)+1)),"##0"),","),"")</f>
        <v>0</v>
      </c>
      <c r="Y29">
        <f t="array" ref="Y29">IFERROR(CONCATENATE((INDEX($A$7:$A$17,SMALL(IF($Z$7:$Z$17&lt;&gt;"",IF($W$7:$W$17&lt;&gt;"",ROW($W$7:$W$17)-MIN(ROW($W$7:$W$17))+1,""),""),ROW()-ROW(A$19)+1))),),"")</f>
        <v>0</v>
      </c>
      <c r="AC29">
        <f t="array" ref="AC29">IFERROR(CONCATENATE((INDEX($AF$7:$AF$17,SMALL(IF($AF$7:$AF$17&lt;&gt;"",IF($AC$7:$AC$17&lt;&gt;"",ROW($AC$7:$AC$17)-MIN(ROW($AC$7:$AC$17))+1,""),""),ROW()-ROW(A$19)+1)))," "),"")</f>
        <v>0</v>
      </c>
      <c r="AD29">
        <f t="array" ref="AD29">IFERROR(CONCATENATE(TEXT(INDEX($AC$7:$AC$17,SMALL(IF($AF$7:$AF$17&lt;&gt;"",IF($AC$7:$AC$17&lt;&gt;"",ROW($AC$7:$AC$17)-MIN(ROW($AC$7:$AC$17))+1,""),""),ROW()-ROW(A$19)+1)),"##0")," "),"")</f>
        <v>0</v>
      </c>
      <c r="AE29">
        <f t="array" ref="AE29">IFERROR(CONCATENATE((INDEX($A$7:$A$17,SMALL(IF($AF$7:$AF$17&lt;&gt;"",IF($AC$7:$AC$17&lt;&gt;"",ROW($AC$7:$AC$17)-MIN(ROW($AC$7:$AC$17))+1,""),""),ROW()-ROW(A$19)+1))),),"")</f>
        <v>0</v>
      </c>
    </row>
  </sheetData>
  <mergeCells count="5">
    <mergeCell ref="A5:I5"/>
    <mergeCell ref="J5:O5"/>
    <mergeCell ref="P5:U5"/>
    <mergeCell ref="V5:AA5"/>
    <mergeCell ref="AB5:AG5"/>
  </mergeCells>
  <conditionalFormatting sqref="R10">
    <cfRule type="cellIs" dxfId="0" priority="7" operator="lessThanOrEqual">
      <formula>H10</formula>
    </cfRule>
  </conditionalFormatting>
  <conditionalFormatting sqref="R11">
    <cfRule type="cellIs" dxfId="0" priority="9" operator="lessThanOrEqual">
      <formula>H11</formula>
    </cfRule>
  </conditionalFormatting>
  <conditionalFormatting sqref="R12">
    <cfRule type="cellIs" dxfId="0" priority="11" operator="lessThanOrEqual">
      <formula>H12</formula>
    </cfRule>
  </conditionalFormatting>
  <conditionalFormatting sqref="R13">
    <cfRule type="cellIs" dxfId="0" priority="13" operator="lessThanOrEqual">
      <formula>H13</formula>
    </cfRule>
  </conditionalFormatting>
  <conditionalFormatting sqref="R14">
    <cfRule type="cellIs" dxfId="0" priority="15" operator="lessThanOrEqual">
      <formula>H14</formula>
    </cfRule>
  </conditionalFormatting>
  <conditionalFormatting sqref="R15">
    <cfRule type="cellIs" dxfId="0" priority="17" operator="lessThanOrEqual">
      <formula>H15</formula>
    </cfRule>
  </conditionalFormatting>
  <conditionalFormatting sqref="R16">
    <cfRule type="cellIs" dxfId="0" priority="19" operator="lessThanOrEqual">
      <formula>H16</formula>
    </cfRule>
  </conditionalFormatting>
  <conditionalFormatting sqref="R17">
    <cfRule type="cellIs" dxfId="0" priority="21" operator="lessThanOrEqual">
      <formula>H17</formula>
    </cfRule>
  </conditionalFormatting>
  <conditionalFormatting sqref="R7">
    <cfRule type="cellIs" dxfId="0" priority="1" operator="lessThanOrEqual">
      <formula>H7</formula>
    </cfRule>
  </conditionalFormatting>
  <conditionalFormatting sqref="R8">
    <cfRule type="cellIs" dxfId="0" priority="3" operator="lessThanOrEqual">
      <formula>H8</formula>
    </cfRule>
  </conditionalFormatting>
  <conditionalFormatting sqref="R9">
    <cfRule type="cellIs" dxfId="0" priority="5" operator="lessThanOrEqual">
      <formula>H9</formula>
    </cfRule>
  </conditionalFormatting>
  <conditionalFormatting sqref="S10">
    <cfRule type="cellIs" dxfId="0" priority="8" operator="lessThanOrEqual">
      <formula>I10</formula>
    </cfRule>
  </conditionalFormatting>
  <conditionalFormatting sqref="S11">
    <cfRule type="cellIs" dxfId="0" priority="10" operator="lessThanOrEqual">
      <formula>I11</formula>
    </cfRule>
  </conditionalFormatting>
  <conditionalFormatting sqref="S12">
    <cfRule type="cellIs" dxfId="0" priority="12" operator="lessThanOrEqual">
      <formula>I12</formula>
    </cfRule>
  </conditionalFormatting>
  <conditionalFormatting sqref="S13">
    <cfRule type="cellIs" dxfId="0" priority="14" operator="lessThanOrEqual">
      <formula>I13</formula>
    </cfRule>
  </conditionalFormatting>
  <conditionalFormatting sqref="S14">
    <cfRule type="cellIs" dxfId="0" priority="16" operator="lessThanOrEqual">
      <formula>I14</formula>
    </cfRule>
  </conditionalFormatting>
  <conditionalFormatting sqref="S15">
    <cfRule type="cellIs" dxfId="0" priority="18" operator="lessThanOrEqual">
      <formula>I15</formula>
    </cfRule>
  </conditionalFormatting>
  <conditionalFormatting sqref="S16">
    <cfRule type="cellIs" dxfId="0" priority="20" operator="lessThanOrEqual">
      <formula>I16</formula>
    </cfRule>
  </conditionalFormatting>
  <conditionalFormatting sqref="S17">
    <cfRule type="cellIs" dxfId="0" priority="22" operator="lessThanOrEqual">
      <formula>I17</formula>
    </cfRule>
  </conditionalFormatting>
  <conditionalFormatting sqref="S7">
    <cfRule type="cellIs" dxfId="0" priority="2" operator="lessThanOrEqual">
      <formula>I7</formula>
    </cfRule>
  </conditionalFormatting>
  <conditionalFormatting sqref="S8">
    <cfRule type="cellIs" dxfId="0" priority="4" operator="lessThanOrEqual">
      <formula>I8</formula>
    </cfRule>
  </conditionalFormatting>
  <conditionalFormatting sqref="S9">
    <cfRule type="cellIs" dxfId="0" priority="6" operator="lessThanOrEqual">
      <formula>I9</formula>
    </cfRule>
  </conditionalFormatting>
  <hyperlinks>
    <hyperlink ref="U7" r:id="rId1"/>
    <hyperlink ref="U8" r:id="rId2"/>
    <hyperlink ref="U9" r:id="rId3"/>
    <hyperlink ref="U10" r:id="rId4"/>
    <hyperlink ref="U11" r:id="rId5"/>
    <hyperlink ref="U12" r:id="rId6"/>
    <hyperlink ref="U13" r:id="rId7"/>
    <hyperlink ref="U14" r:id="rId8"/>
    <hyperlink ref="U15" r:id="rId9"/>
    <hyperlink ref="U16" r:id="rId10"/>
    <hyperlink ref="U17" r:id="rId11"/>
  </hyperlinks>
  <pageMargins left="0.7" right="0.7" top="0.75" bottom="0.75" header="0.3" footer="0.3"/>
  <legacy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OsmoIRSensor</vt:lpstr>
      <vt:lpstr>BoardQty</vt:lpstr>
      <vt:lpstr>digikey_part_data</vt:lpstr>
      <vt:lpstr>global_part_data</vt:lpstr>
      <vt:lpstr>mouser_part_data</vt:lpstr>
      <vt:lpstr>newark_part_data</vt:lpstr>
      <vt:lpstr>rs_part_data</vt:lpstr>
      <vt:lpstr>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2017-03-11T13:11:11Z</dcterms:created>
  <dcterms:modified xsi:type="dcterms:W3CDTF">2017-03-11T13:11:11Z</dcterms:modified>
</cp:coreProperties>
</file>